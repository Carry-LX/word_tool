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ShareCache\佘仕凤(17055)\历年评价数据【青塔分享】\2026年排名指标分析ppt\"/>
    </mc:Choice>
  </mc:AlternateContent>
  <xr:revisionPtr revIDLastSave="0" documentId="13_ncr:1_{AD7D00ED-54CA-4949-A2E0-E64812BC00B8}" xr6:coauthVersionLast="47" xr6:coauthVersionMax="47" xr10:uidLastSave="{00000000-0000-0000-0000-000000000000}"/>
  <bookViews>
    <workbookView xWindow="29835" yWindow="450" windowWidth="27915" windowHeight="14190" activeTab="3" xr2:uid="{00000000-000D-0000-FFFF-FFFF00000000}"/>
  </bookViews>
  <sheets>
    <sheet name="软科" sheetId="1" r:id="rId1"/>
    <sheet name="usnews" sheetId="2" r:id="rId2"/>
    <sheet name="the" sheetId="3" r:id="rId3"/>
    <sheet name="Q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2" i="4" l="1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2" i="4"/>
  <c r="J11" i="4"/>
  <c r="J10" i="4"/>
  <c r="J9" i="4"/>
  <c r="J8" i="4"/>
  <c r="J7" i="4"/>
  <c r="J6" i="4"/>
  <c r="J5" i="4"/>
  <c r="J4" i="4"/>
  <c r="J3" i="4"/>
  <c r="P21" i="3"/>
  <c r="O21" i="3"/>
  <c r="N21" i="3"/>
  <c r="M21" i="3"/>
  <c r="L21" i="3"/>
  <c r="K21" i="3"/>
  <c r="J21" i="3"/>
  <c r="I21" i="3"/>
  <c r="H21" i="3"/>
  <c r="G21" i="3"/>
  <c r="F21" i="3"/>
  <c r="E21" i="3"/>
  <c r="P18" i="3"/>
  <c r="O18" i="3"/>
  <c r="N18" i="3"/>
  <c r="M18" i="3"/>
  <c r="L18" i="3"/>
  <c r="K18" i="3"/>
  <c r="J18" i="3"/>
  <c r="I18" i="3"/>
  <c r="H18" i="3"/>
  <c r="G18" i="3"/>
  <c r="F18" i="3"/>
  <c r="E18" i="3"/>
  <c r="P13" i="3"/>
  <c r="O13" i="3"/>
  <c r="N13" i="3"/>
  <c r="M13" i="3"/>
  <c r="L13" i="3"/>
  <c r="K13" i="3"/>
  <c r="J13" i="3"/>
  <c r="I13" i="3"/>
  <c r="H13" i="3"/>
  <c r="G13" i="3"/>
  <c r="F13" i="3"/>
  <c r="E13" i="3"/>
  <c r="P9" i="3"/>
  <c r="O9" i="3"/>
  <c r="N9" i="3"/>
  <c r="M9" i="3"/>
  <c r="L9" i="3"/>
  <c r="K9" i="3"/>
  <c r="J9" i="3"/>
  <c r="I9" i="3"/>
  <c r="H9" i="3"/>
  <c r="G9" i="3"/>
  <c r="F9" i="3"/>
  <c r="E9" i="3"/>
  <c r="P3" i="3"/>
  <c r="O3" i="3"/>
  <c r="N3" i="3"/>
  <c r="M3" i="3"/>
  <c r="L3" i="3"/>
  <c r="K3" i="3"/>
  <c r="J3" i="3"/>
  <c r="I3" i="3"/>
  <c r="H3" i="3"/>
  <c r="G3" i="3"/>
  <c r="F3" i="3"/>
  <c r="E3" i="3"/>
</calcChain>
</file>

<file path=xl/sharedStrings.xml><?xml version="1.0" encoding="utf-8"?>
<sst xmlns="http://schemas.openxmlformats.org/spreadsheetml/2006/main" count="506" uniqueCount="360">
  <si>
    <t>一级指标名称</t>
  </si>
  <si>
    <t>二级指标名称</t>
  </si>
  <si>
    <t>大学排名</t>
    <phoneticPr fontId="3" type="noConversion"/>
  </si>
  <si>
    <t>艺术与人文</t>
    <phoneticPr fontId="3" type="noConversion"/>
  </si>
  <si>
    <t>医学与健康</t>
  </si>
  <si>
    <t>工程学</t>
    <phoneticPr fontId="3" type="noConversion"/>
  </si>
  <si>
    <t>计算机科学</t>
  </si>
  <si>
    <t>生命科学</t>
    <phoneticPr fontId="3" type="noConversion"/>
  </si>
  <si>
    <t>自然科学</t>
    <phoneticPr fontId="3" type="noConversion"/>
  </si>
  <si>
    <t>社会科学</t>
    <phoneticPr fontId="3" type="noConversion"/>
  </si>
  <si>
    <t>商业和经济学</t>
  </si>
  <si>
    <t>法学</t>
  </si>
  <si>
    <t>教育学</t>
  </si>
  <si>
    <t>心理学</t>
    <phoneticPr fontId="3" type="noConversion"/>
  </si>
  <si>
    <t>Pillar</t>
  </si>
  <si>
    <t>一级指标名称</t>
    <phoneticPr fontId="3" type="noConversion"/>
  </si>
  <si>
    <t>二级指标名称</t>
    <phoneticPr fontId="3" type="noConversion"/>
  </si>
  <si>
    <t>Indicator</t>
  </si>
  <si>
    <t>Overall</t>
  </si>
  <si>
    <t>Arts and Humanities</t>
  </si>
  <si>
    <t>Medical and Health</t>
  </si>
  <si>
    <t>Engineering</t>
  </si>
  <si>
    <t>Computer Science</t>
  </si>
  <si>
    <t>Life Sciences</t>
  </si>
  <si>
    <t>Physical Sciences</t>
  </si>
  <si>
    <t>Social Sciences </t>
  </si>
  <si>
    <t>Business and Economics</t>
  </si>
  <si>
    <t>Law</t>
  </si>
  <si>
    <t>Education Studies</t>
  </si>
  <si>
    <t>Psychology</t>
  </si>
  <si>
    <t>Teaching </t>
  </si>
  <si>
    <t>教学</t>
    <phoneticPr fontId="3" type="noConversion"/>
  </si>
  <si>
    <t>教学声誉</t>
    <phoneticPr fontId="3" type="noConversion"/>
  </si>
  <si>
    <t>Teaching reputation</t>
  </si>
  <si>
    <t>师生比</t>
    <phoneticPr fontId="3" type="noConversion"/>
  </si>
  <si>
    <t>Student:staff ratio</t>
  </si>
  <si>
    <t>授予博士学位数与授予学士学位数比</t>
    <phoneticPr fontId="3" type="noConversion"/>
  </si>
  <si>
    <t>Doctorate:bachelor’s ratio</t>
  </si>
  <si>
    <t>授予博士学位数与教职工数的比例</t>
    <phoneticPr fontId="3" type="noConversion"/>
  </si>
  <si>
    <t>Doctorate:staff ratio </t>
  </si>
  <si>
    <t>师均大学总收入</t>
    <phoneticPr fontId="3" type="noConversion"/>
  </si>
  <si>
    <t>Institutional income</t>
  </si>
  <si>
    <t>Research environment</t>
  </si>
  <si>
    <t>研究环境</t>
    <phoneticPr fontId="3" type="noConversion"/>
  </si>
  <si>
    <t>研究声誉</t>
    <phoneticPr fontId="3" type="noConversion"/>
  </si>
  <si>
    <t>Research reputation</t>
  </si>
  <si>
    <t>师均研究收入</t>
    <phoneticPr fontId="3" type="noConversion"/>
  </si>
  <si>
    <t>Research income</t>
  </si>
  <si>
    <t>人均研究产出</t>
    <phoneticPr fontId="3" type="noConversion"/>
  </si>
  <si>
    <t>Research productivity</t>
  </si>
  <si>
    <t>Research quality</t>
  </si>
  <si>
    <t>研究质量</t>
    <phoneticPr fontId="3" type="noConversion"/>
  </si>
  <si>
    <t>引文影响力</t>
    <phoneticPr fontId="3" type="noConversion"/>
  </si>
  <si>
    <t>Citation impact</t>
  </si>
  <si>
    <t>研究实力</t>
    <phoneticPr fontId="3" type="noConversion"/>
  </si>
  <si>
    <t>Research strength</t>
  </si>
  <si>
    <t>卓越研究</t>
    <phoneticPr fontId="3" type="noConversion"/>
  </si>
  <si>
    <t>Research excellence</t>
  </si>
  <si>
    <t>研究影响力</t>
    <phoneticPr fontId="3" type="noConversion"/>
  </si>
  <si>
    <t>Research influence</t>
  </si>
  <si>
    <t>Industry</t>
  </si>
  <si>
    <t>产业</t>
    <phoneticPr fontId="3" type="noConversion"/>
  </si>
  <si>
    <t>行业收入</t>
    <phoneticPr fontId="3" type="noConversion"/>
  </si>
  <si>
    <t>Industry income</t>
  </si>
  <si>
    <t>论文被专利引用数</t>
    <phoneticPr fontId="3" type="noConversion"/>
  </si>
  <si>
    <t>Patents </t>
  </si>
  <si>
    <t>International outlook</t>
  </si>
  <si>
    <t>国际展望</t>
    <phoneticPr fontId="3" type="noConversion"/>
  </si>
  <si>
    <t>国际学生比例</t>
    <phoneticPr fontId="3" type="noConversion"/>
  </si>
  <si>
    <t>International students</t>
  </si>
  <si>
    <t>国际教师比例</t>
    <phoneticPr fontId="3" type="noConversion"/>
  </si>
  <si>
    <t>International staff</t>
  </si>
  <si>
    <t>国际论文比例</t>
    <phoneticPr fontId="3" type="noConversion"/>
  </si>
  <si>
    <t>International co-authorship</t>
  </si>
  <si>
    <t> Total</t>
  </si>
  <si>
    <t>总计</t>
    <phoneticPr fontId="3" type="noConversion"/>
  </si>
  <si>
    <t>合计</t>
    <phoneticPr fontId="3" type="noConversion"/>
  </si>
  <si>
    <t>学科领域</t>
  </si>
  <si>
    <t>学科名称</t>
  </si>
  <si>
    <t>世界一流教师</t>
  </si>
  <si>
    <t>世界一流成果</t>
  </si>
  <si>
    <t>高水平研究成果</t>
  </si>
  <si>
    <t>科研影响力</t>
  </si>
  <si>
    <t>国际合作</t>
  </si>
  <si>
    <t>理学</t>
  </si>
  <si>
    <t>数学</t>
  </si>
  <si>
    <t>物理学</t>
  </si>
  <si>
    <t>化学</t>
  </si>
  <si>
    <t>地球科学</t>
  </si>
  <si>
    <t>地理学</t>
  </si>
  <si>
    <t>生态学</t>
  </si>
  <si>
    <t>海洋科学</t>
  </si>
  <si>
    <t>大气科学</t>
  </si>
  <si>
    <t>工学</t>
  </si>
  <si>
    <t>机械工程</t>
  </si>
  <si>
    <t>电力电子工程</t>
  </si>
  <si>
    <t>控制科学与工程</t>
  </si>
  <si>
    <t>通信工程</t>
  </si>
  <si>
    <t>仪器科学</t>
  </si>
  <si>
    <t>生物医学工程</t>
  </si>
  <si>
    <t>计算机科学与工程</t>
  </si>
  <si>
    <t>土木工程</t>
  </si>
  <si>
    <t>化学工程</t>
  </si>
  <si>
    <t>材料科学与工程</t>
  </si>
  <si>
    <t>纳米科学与技术</t>
  </si>
  <si>
    <t>能源科学与工程</t>
  </si>
  <si>
    <t>环境科学与工程</t>
  </si>
  <si>
    <t>水资源工程</t>
  </si>
  <si>
    <t>食品科学与工程</t>
  </si>
  <si>
    <t>生物工程</t>
  </si>
  <si>
    <t>航空航天工程</t>
  </si>
  <si>
    <t>船舶与海洋工程</t>
  </si>
  <si>
    <t>交通运输工程</t>
  </si>
  <si>
    <t>遥感技术</t>
  </si>
  <si>
    <t>矿业工程</t>
  </si>
  <si>
    <t>冶金工程</t>
  </si>
  <si>
    <t>纺织科学与工程</t>
  </si>
  <si>
    <t>人工智能</t>
  </si>
  <si>
    <t>机器人科学与工程</t>
  </si>
  <si>
    <t>生命科学</t>
  </si>
  <si>
    <t>生物学</t>
  </si>
  <si>
    <t>基础医学</t>
  </si>
  <si>
    <t>农学</t>
  </si>
  <si>
    <t>兽医学</t>
  </si>
  <si>
    <t>医学</t>
  </si>
  <si>
    <t>临床医学</t>
  </si>
  <si>
    <t>公共卫生</t>
  </si>
  <si>
    <t>口腔医学</t>
  </si>
  <si>
    <t>护理学</t>
  </si>
  <si>
    <t>医学技术</t>
  </si>
  <si>
    <t>药学</t>
  </si>
  <si>
    <t>社会科学</t>
  </si>
  <si>
    <t>经济学</t>
  </si>
  <si>
    <t>统计学</t>
  </si>
  <si>
    <t>政治学</t>
  </si>
  <si>
    <t>社会学</t>
  </si>
  <si>
    <t>新闻传播学</t>
  </si>
  <si>
    <t>心理学</t>
  </si>
  <si>
    <t>工商管理</t>
  </si>
  <si>
    <t>金融学</t>
  </si>
  <si>
    <t>管理学</t>
  </si>
  <si>
    <t>公共管理</t>
  </si>
  <si>
    <t>旅游休闲管理</t>
  </si>
  <si>
    <t>图书情报科学</t>
  </si>
  <si>
    <t>获权威奖项教师</t>
  </si>
  <si>
    <t>高被引科学家</t>
  </si>
  <si>
    <t>国际期刊主编</t>
  </si>
  <si>
    <t>国际学术组织负责人</t>
  </si>
  <si>
    <t>顶尖期刊论文</t>
  </si>
  <si>
    <t>国际权威奖项</t>
  </si>
  <si>
    <t>重要期刊论文</t>
  </si>
  <si>
    <t>论文标准化影响力</t>
  </si>
  <si>
    <t>国际合作论文比例</t>
  </si>
  <si>
    <t>US News学科领域</t>
  </si>
  <si>
    <t>细分学科</t>
  </si>
  <si>
    <t>全球研究声誉</t>
  </si>
  <si>
    <t>区域研究声誉</t>
  </si>
  <si>
    <t>出版物</t>
  </si>
  <si>
    <t xml:space="preserve">图书 </t>
  </si>
  <si>
    <t>会议</t>
  </si>
  <si>
    <t>标准化引用影响</t>
  </si>
  <si>
    <t>总引用次数</t>
  </si>
  <si>
    <t>被引用次数最多的 10% 的出版物数量</t>
  </si>
  <si>
    <t>被引用次数最多的 10% 的出版物占总出版物的百分比</t>
  </si>
  <si>
    <t>在各自领域中被引用次数最多的前 1% 的高被引论文数量</t>
  </si>
  <si>
    <t>被引用次数最多的前 1% 的论文占总出版物的百分比</t>
  </si>
  <si>
    <t>国际合作——相对于国家</t>
  </si>
  <si>
    <t>不适用</t>
  </si>
  <si>
    <t>工程学</t>
  </si>
  <si>
    <t>软科学</t>
  </si>
  <si>
    <t>商业与经济</t>
  </si>
  <si>
    <t xml:space="preserve">不适用 </t>
  </si>
  <si>
    <t>社会科学与公共卫生</t>
  </si>
  <si>
    <t>电气与电子工程</t>
  </si>
  <si>
    <t>能源与燃料</t>
  </si>
  <si>
    <t>环境工程</t>
  </si>
  <si>
    <t>绿色可持续科技</t>
  </si>
  <si>
    <t>公共、环境和职业健康</t>
  </si>
  <si>
    <t>纳米科学与纳米技术</t>
  </si>
  <si>
    <t>硬科学</t>
  </si>
  <si>
    <t>生物学与生物化学</t>
  </si>
  <si>
    <t>环境与生态学</t>
  </si>
  <si>
    <t>免疫学</t>
  </si>
  <si>
    <t>材料科学</t>
  </si>
  <si>
    <t>微生物学</t>
  </si>
  <si>
    <t>分子生物学与遗传学</t>
  </si>
  <si>
    <t>神经科学与行为学</t>
  </si>
  <si>
    <t>药理学与毒理学</t>
  </si>
  <si>
    <t>精神病学与心理学</t>
  </si>
  <si>
    <t>生物技术应用微生物学</t>
  </si>
  <si>
    <t xml:space="preserve">不适用   </t>
  </si>
  <si>
    <t>心血管系统</t>
  </si>
  <si>
    <t>细胞生物学</t>
  </si>
  <si>
    <t>凝聚态物理学</t>
  </si>
  <si>
    <t>内分泌代谢</t>
  </si>
  <si>
    <t>肠胃病学肝病学</t>
  </si>
  <si>
    <t>肿瘤学</t>
  </si>
  <si>
    <t>光学</t>
  </si>
  <si>
    <t>物理化学</t>
  </si>
  <si>
    <t>高分子科学</t>
  </si>
  <si>
    <t>放射核医学医学影像学</t>
  </si>
  <si>
    <t>外科学</t>
  </si>
  <si>
    <t>水资源</t>
  </si>
  <si>
    <t>QS学科排名指标占比（%）</t>
  </si>
  <si>
    <t>2026QS学科排名指标更新</t>
    <phoneticPr fontId="3" type="noConversion"/>
  </si>
  <si>
    <t>2026年</t>
    <phoneticPr fontId="3" type="noConversion"/>
  </si>
  <si>
    <t>大类</t>
  </si>
  <si>
    <t>英文学科/英文排名网站</t>
  </si>
  <si>
    <t>英文学科/指标解释中</t>
  </si>
  <si>
    <t>中文学科</t>
  </si>
  <si>
    <t>学术声誉</t>
  </si>
  <si>
    <t>雇主声誉</t>
  </si>
  <si>
    <t>篇均被引</t>
  </si>
  <si>
    <r>
      <t>H</t>
    </r>
    <r>
      <rPr>
        <b/>
        <sz val="10"/>
        <color theme="1"/>
        <rFont val="仿宋_GB2312"/>
        <family val="3"/>
        <charset val="134"/>
      </rPr>
      <t>指数</t>
    </r>
  </si>
  <si>
    <t>IRN</t>
  </si>
  <si>
    <t>合计</t>
  </si>
  <si>
    <t>同济学科</t>
  </si>
  <si>
    <t>Arts &amp; Humanities</t>
  </si>
  <si>
    <t>艺术与人文领域</t>
  </si>
  <si>
    <t>Archaeology</t>
  </si>
  <si>
    <t>考古学</t>
  </si>
  <si>
    <t>Architecture / Built Environment</t>
  </si>
  <si>
    <t>Architecture</t>
  </si>
  <si>
    <t>建筑学</t>
  </si>
  <si>
    <t>同济</t>
  </si>
  <si>
    <t>Art &amp; Design</t>
  </si>
  <si>
    <t>艺术与设计</t>
  </si>
  <si>
    <t>Classics &amp; Ancient History</t>
  </si>
  <si>
    <t>Classics</t>
  </si>
  <si>
    <t>经典与古代历史</t>
  </si>
  <si>
    <t>English Language &amp; Literature</t>
  </si>
  <si>
    <t>English</t>
  </si>
  <si>
    <t>英语语言文学</t>
  </si>
  <si>
    <t>History</t>
  </si>
  <si>
    <t>历史</t>
  </si>
  <si>
    <t>History of Art</t>
  </si>
  <si>
    <t>History of Art</t>
    <phoneticPr fontId="3" type="noConversion"/>
  </si>
  <si>
    <t>艺术史（2025年新增）</t>
    <phoneticPr fontId="3" type="noConversion"/>
  </si>
  <si>
    <t>Modern Languages</t>
  </si>
  <si>
    <t>Languages</t>
  </si>
  <si>
    <t>现代语言</t>
  </si>
  <si>
    <t>Linguistics</t>
  </si>
  <si>
    <t>语言学</t>
  </si>
  <si>
    <t>Music</t>
    <phoneticPr fontId="3" type="noConversion"/>
  </si>
  <si>
    <t>music(new)</t>
    <phoneticPr fontId="3" type="noConversion"/>
  </si>
  <si>
    <t>音乐（2024新增）</t>
    <phoneticPr fontId="3" type="noConversion"/>
  </si>
  <si>
    <t>Performing Arts</t>
  </si>
  <si>
    <t>表演艺术</t>
  </si>
  <si>
    <t>Philosophy</t>
  </si>
  <si>
    <t>哲学</t>
  </si>
  <si>
    <t>Theology, Divinity &amp; Religious Studies</t>
  </si>
  <si>
    <t>Theology</t>
  </si>
  <si>
    <t>神学、神学与宗教研究</t>
  </si>
  <si>
    <t>工程与技术</t>
    <phoneticPr fontId="3" type="noConversion"/>
  </si>
  <si>
    <t>Engineering and Technology</t>
    <phoneticPr fontId="3" type="noConversion"/>
  </si>
  <si>
    <t>Engineering &amp; Technology</t>
  </si>
  <si>
    <t>工程与技术领域</t>
  </si>
  <si>
    <t>Computer Science and Information Systems</t>
    <phoneticPr fontId="3" type="noConversion"/>
  </si>
  <si>
    <t>计算机科学与信息系统</t>
  </si>
  <si>
    <t>Data Science and Artificial Intelligence</t>
    <phoneticPr fontId="3" type="noConversion"/>
  </si>
  <si>
    <t>Data Science（NEW）</t>
  </si>
  <si>
    <t>数据科学（2024新增）</t>
    <phoneticPr fontId="3" type="noConversion"/>
  </si>
  <si>
    <t>Engineering - Chemical</t>
  </si>
  <si>
    <t>Chemical Engineering</t>
  </si>
  <si>
    <t>Engineering - Civil and Structural</t>
    <phoneticPr fontId="3" type="noConversion"/>
  </si>
  <si>
    <t>Civil Engineering</t>
  </si>
  <si>
    <t>Engineering - Electrical and Electronic</t>
    <phoneticPr fontId="3" type="noConversion"/>
  </si>
  <si>
    <t>Electrical Engineering</t>
  </si>
  <si>
    <t>电子与电气工程</t>
  </si>
  <si>
    <t>Engineering - Mechanical, Aeronautical and Manufacturing</t>
    <phoneticPr fontId="3" type="noConversion"/>
  </si>
  <si>
    <t>Mechanical Engineering</t>
  </si>
  <si>
    <t>Engineering - Mineral and Mining</t>
    <phoneticPr fontId="3" type="noConversion"/>
  </si>
  <si>
    <t>Mining Engineering</t>
  </si>
  <si>
    <t>采矿工程</t>
  </si>
  <si>
    <t>Engineering - Petroleum</t>
    <phoneticPr fontId="3" type="noConversion"/>
  </si>
  <si>
    <t>Petroleum Engineering</t>
  </si>
  <si>
    <t>石油工程</t>
  </si>
  <si>
    <t>生命科学和医学</t>
    <phoneticPr fontId="3" type="noConversion"/>
  </si>
  <si>
    <t>Life Sciences and Medicine</t>
    <phoneticPr fontId="3" type="noConversion"/>
  </si>
  <si>
    <t>Life Sciences &amp; Medicine</t>
  </si>
  <si>
    <t>生命科学与医学领域</t>
  </si>
  <si>
    <t>Agriculture and Forestry</t>
    <phoneticPr fontId="3" type="noConversion"/>
  </si>
  <si>
    <t>Agriculture</t>
  </si>
  <si>
    <t>农林学</t>
  </si>
  <si>
    <t>Anatomy and Physiology</t>
    <phoneticPr fontId="3" type="noConversion"/>
  </si>
  <si>
    <t xml:space="preserve">Anatomy &amp; Physiology </t>
    <phoneticPr fontId="3" type="noConversion"/>
  </si>
  <si>
    <t>解剖和生理学</t>
  </si>
  <si>
    <t>Biological Sciences</t>
  </si>
  <si>
    <t>Biology</t>
  </si>
  <si>
    <t>生物科学</t>
  </si>
  <si>
    <t>Dentistry</t>
  </si>
  <si>
    <t>牙科学</t>
  </si>
  <si>
    <t>Medicine</t>
  </si>
  <si>
    <t>Nursing</t>
  </si>
  <si>
    <t>Pharmacy and Pharmacology</t>
    <phoneticPr fontId="3" type="noConversion"/>
  </si>
  <si>
    <t>Pharmacy</t>
  </si>
  <si>
    <t>药学与药理学</t>
  </si>
  <si>
    <t>Veterinary Science</t>
  </si>
  <si>
    <t>自然科学</t>
  </si>
  <si>
    <t>Natural Sciences</t>
  </si>
  <si>
    <t>自然科学领域</t>
  </si>
  <si>
    <t>Chemistry</t>
  </si>
  <si>
    <t>Earth and Marine Sciences</t>
    <phoneticPr fontId="3" type="noConversion"/>
  </si>
  <si>
    <t>Earth Sciences</t>
  </si>
  <si>
    <t>地球与海洋科学</t>
  </si>
  <si>
    <t>Environmental Sciences</t>
  </si>
  <si>
    <t>环境科学</t>
  </si>
  <si>
    <t>Geography</t>
  </si>
  <si>
    <t>Geology</t>
  </si>
  <si>
    <t>地质学</t>
  </si>
  <si>
    <t>Geophysics</t>
  </si>
  <si>
    <t>地球物理学</t>
  </si>
  <si>
    <t>Materials Science</t>
  </si>
  <si>
    <t>Mathematics</t>
  </si>
  <si>
    <t>Physics &amp; Astronomy</t>
  </si>
  <si>
    <t>Physics</t>
  </si>
  <si>
    <t>物理与天文学</t>
  </si>
  <si>
    <t>社会科学与管理</t>
    <phoneticPr fontId="3" type="noConversion"/>
  </si>
  <si>
    <t>Social Sciences and Management</t>
    <phoneticPr fontId="3" type="noConversion"/>
  </si>
  <si>
    <t>Social Sciences &amp; Management</t>
  </si>
  <si>
    <t>社会科学与管理领域</t>
  </si>
  <si>
    <t>Accounting and Finance</t>
    <phoneticPr fontId="3" type="noConversion"/>
  </si>
  <si>
    <t>Accounting &amp; Finance</t>
  </si>
  <si>
    <t>会计与金融学</t>
  </si>
  <si>
    <t>Anthropology</t>
  </si>
  <si>
    <t>人类学</t>
  </si>
  <si>
    <t>Business and Management Studies</t>
    <phoneticPr fontId="3" type="noConversion"/>
  </si>
  <si>
    <t>Business</t>
  </si>
  <si>
    <t>Communication and Media Studies</t>
    <phoneticPr fontId="3" type="noConversion"/>
  </si>
  <si>
    <t>Communication</t>
  </si>
  <si>
    <t>传播与媒体研究</t>
  </si>
  <si>
    <t>Development Studies</t>
  </si>
  <si>
    <t>发展研究</t>
  </si>
  <si>
    <t>Economics and Econometrics</t>
    <phoneticPr fontId="3" type="noConversion"/>
  </si>
  <si>
    <t>Economics</t>
  </si>
  <si>
    <t>Education</t>
  </si>
  <si>
    <t>教育</t>
  </si>
  <si>
    <t>Hospitality and Leisure Management</t>
    <phoneticPr fontId="3" type="noConversion"/>
  </si>
  <si>
    <t>Hospitality</t>
  </si>
  <si>
    <t>酒店与休闲管理</t>
  </si>
  <si>
    <t>法律</t>
  </si>
  <si>
    <t>Library and Information Management</t>
    <phoneticPr fontId="3" type="noConversion"/>
  </si>
  <si>
    <t>Library Management</t>
  </si>
  <si>
    <t>图书馆与信息管理</t>
  </si>
  <si>
    <t>Marketing</t>
    <phoneticPr fontId="3" type="noConversion"/>
  </si>
  <si>
    <t>Marketing（NEW）</t>
  </si>
  <si>
    <t>市场营销（2024新增）</t>
    <phoneticPr fontId="3" type="noConversion"/>
  </si>
  <si>
    <t>Politics and International Studies</t>
    <phoneticPr fontId="3" type="noConversion"/>
  </si>
  <si>
    <t>Politics</t>
  </si>
  <si>
    <t>政治与国际研究</t>
  </si>
  <si>
    <t>Social Policy and Administration</t>
    <phoneticPr fontId="3" type="noConversion"/>
  </si>
  <si>
    <t>Social Policy</t>
  </si>
  <si>
    <t>社会政策与行政管理</t>
  </si>
  <si>
    <t>Sociology</t>
  </si>
  <si>
    <t>Sports-related Subjects</t>
  </si>
  <si>
    <t>Sport</t>
  </si>
  <si>
    <t>体育相关学科</t>
  </si>
  <si>
    <t>Statistics and Operational Research</t>
    <phoneticPr fontId="3" type="noConversion"/>
  </si>
  <si>
    <t>Statistics</t>
  </si>
  <si>
    <t>统计与运筹学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</si>
</sst>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2"/>
      <color theme="0"/>
      <name val="Arial"/>
      <family val="2"/>
    </font>
    <font>
      <b/>
      <sz val="12"/>
      <color theme="0"/>
      <name val="宋体"/>
      <family val="2"/>
      <charset val="134"/>
    </font>
    <font>
      <b/>
      <sz val="12"/>
      <name val="Arial"/>
      <family val="2"/>
    </font>
    <font>
      <b/>
      <sz val="12"/>
      <name val="宋体"/>
      <family val="2"/>
      <charset val="134"/>
    </font>
    <font>
      <sz val="11"/>
      <name val="等线"/>
      <family val="3"/>
      <charset val="134"/>
      <scheme val="minor"/>
    </font>
    <font>
      <sz val="12"/>
      <color rgb="FF494343"/>
      <name val="Arial"/>
      <family val="2"/>
    </font>
    <font>
      <sz val="12"/>
      <name val="Arial"/>
      <family val="2"/>
    </font>
    <font>
      <b/>
      <sz val="12"/>
      <color rgb="FF494343"/>
      <name val="Arial"/>
      <family val="2"/>
    </font>
    <font>
      <b/>
      <sz val="11"/>
      <color rgb="FF312F31"/>
      <name val="PingFang SC"/>
      <family val="2"/>
    </font>
    <font>
      <sz val="11"/>
      <color rgb="FF312F31"/>
      <name val="PingFang SC"/>
      <family val="2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仿宋_GB2312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Times New Roman"/>
      <family val="1"/>
    </font>
    <font>
      <sz val="10"/>
      <name val="微软雅黑"/>
      <family val="2"/>
      <charset val="134"/>
    </font>
    <font>
      <b/>
      <sz val="10"/>
      <name val="Malgun Gothic Semilight"/>
      <family val="2"/>
      <charset val="134"/>
    </font>
    <font>
      <b/>
      <sz val="10"/>
      <name val="仿宋_GB2312"/>
      <family val="3"/>
      <charset val="134"/>
    </font>
    <font>
      <b/>
      <sz val="10"/>
      <name val="Times New Roman"/>
      <family val="1"/>
    </font>
    <font>
      <b/>
      <sz val="10"/>
      <name val="等线"/>
      <family val="3"/>
      <charset val="134"/>
      <scheme val="minor"/>
    </font>
    <font>
      <sz val="10"/>
      <color theme="1"/>
      <name val="仿宋_GB2312"/>
      <family val="3"/>
      <charset val="134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rgb="FFFF0000"/>
      <name val="Malgun Gothic Semilight"/>
      <family val="2"/>
      <charset val="134"/>
    </font>
    <font>
      <sz val="10"/>
      <color rgb="FFFF0000"/>
      <name val="仿宋_GB2312"/>
      <family val="3"/>
      <charset val="134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10"/>
      <name val="仿宋_GB2312"/>
      <family val="3"/>
      <charset val="134"/>
    </font>
    <font>
      <sz val="10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medium">
        <color rgb="FFE1E1E1"/>
      </left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 style="medium">
        <color rgb="FFDDDDDD"/>
      </top>
      <bottom style="medium">
        <color rgb="FFE1E1E1"/>
      </bottom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/>
      <right style="mediumDashed">
        <color rgb="FFEAEAEA"/>
      </right>
      <top/>
      <bottom style="mediumDashed">
        <color rgb="FFEAEAEA"/>
      </bottom>
      <diagonal/>
    </border>
    <border>
      <left/>
      <right style="mediumDashed">
        <color rgb="FFEAEAEA"/>
      </right>
      <top/>
      <bottom/>
      <diagonal/>
    </border>
    <border>
      <left/>
      <right/>
      <top/>
      <bottom style="mediumDashed">
        <color rgb="FFEAEAEA"/>
      </bottom>
      <diagonal/>
    </border>
    <border>
      <left style="mediumDashed">
        <color rgb="FFEAEAEA"/>
      </left>
      <right style="mediumDashed">
        <color rgb="FFEAEAEA"/>
      </right>
      <top/>
      <bottom/>
      <diagonal/>
    </border>
    <border>
      <left style="mediumDashed">
        <color rgb="FFEAEAEA"/>
      </left>
      <right style="mediumDashed">
        <color rgb="FFEAEAEA"/>
      </right>
      <top/>
      <bottom style="mediumDashed">
        <color rgb="FFEAEAEA"/>
      </bottom>
      <diagonal/>
    </border>
    <border>
      <left style="mediumDashed">
        <color rgb="FFEAEAEA"/>
      </left>
      <right/>
      <top/>
      <bottom style="mediumDashed">
        <color rgb="FFEAEAE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176" fontId="6" fillId="4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9" fillId="3" borderId="2" xfId="0" applyFont="1" applyFill="1" applyBorder="1" applyAlignment="1">
      <alignment horizontal="left" vertical="center" wrapText="1"/>
    </xf>
    <xf numFmtId="9" fontId="9" fillId="3" borderId="2" xfId="0" applyNumberFormat="1" applyFont="1" applyFill="1" applyBorder="1" applyAlignment="1">
      <alignment horizontal="left" vertical="center" wrapText="1"/>
    </xf>
    <xf numFmtId="10" fontId="9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176" fontId="6" fillId="4" borderId="2" xfId="0" applyNumberFormat="1" applyFont="1" applyFill="1" applyBorder="1" applyAlignment="1">
      <alignment horizontal="left" vertical="center" wrapText="1"/>
    </xf>
    <xf numFmtId="10" fontId="10" fillId="3" borderId="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9" fontId="10" fillId="3" borderId="2" xfId="0" applyNumberFormat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 readingOrder="1"/>
    </xf>
    <xf numFmtId="0" fontId="14" fillId="7" borderId="11" xfId="0" applyFont="1" applyFill="1" applyBorder="1" applyAlignment="1">
      <alignment horizontal="center" vertical="center" wrapText="1" readingOrder="1"/>
    </xf>
    <xf numFmtId="0" fontId="14" fillId="7" borderId="12" xfId="0" applyFont="1" applyFill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 wrapText="1" readingOrder="1"/>
    </xf>
    <xf numFmtId="0" fontId="15" fillId="9" borderId="12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0" fontId="15" fillId="8" borderId="13" xfId="0" applyFont="1" applyFill="1" applyBorder="1" applyAlignment="1">
      <alignment horizontal="center" vertical="center" wrapText="1" readingOrder="1"/>
    </xf>
    <xf numFmtId="0" fontId="15" fillId="8" borderId="14" xfId="0" applyFont="1" applyFill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8" borderId="16" xfId="0" applyFont="1" applyFill="1" applyBorder="1" applyAlignment="1">
      <alignment horizontal="center" vertical="center" wrapText="1" readingOrder="1"/>
    </xf>
    <xf numFmtId="0" fontId="15" fillId="8" borderId="17" xfId="0" applyFont="1" applyFill="1" applyBorder="1" applyAlignment="1">
      <alignment horizontal="center" vertical="center" wrapText="1" readingOrder="1"/>
    </xf>
    <xf numFmtId="0" fontId="15" fillId="8" borderId="15" xfId="0" applyFont="1" applyFill="1" applyBorder="1" applyAlignment="1">
      <alignment horizontal="center" vertical="center" wrapText="1" readingOrder="1"/>
    </xf>
    <xf numFmtId="0" fontId="15" fillId="9" borderId="13" xfId="0" applyFont="1" applyFill="1" applyBorder="1" applyAlignment="1">
      <alignment horizontal="center" vertical="center" wrapText="1" readingOrder="1"/>
    </xf>
    <xf numFmtId="0" fontId="15" fillId="9" borderId="17" xfId="0" applyFont="1" applyFill="1" applyBorder="1" applyAlignment="1">
      <alignment horizontal="center" vertical="center" wrapText="1" readingOrder="1"/>
    </xf>
    <xf numFmtId="0" fontId="15" fillId="9" borderId="15" xfId="0" applyFont="1" applyFill="1" applyBorder="1" applyAlignment="1">
      <alignment horizontal="center" vertical="center" wrapText="1" readingOrder="1"/>
    </xf>
    <xf numFmtId="0" fontId="15" fillId="0" borderId="17" xfId="0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left" vertical="center" wrapText="1" readingOrder="1"/>
    </xf>
    <xf numFmtId="0" fontId="15" fillId="0" borderId="17" xfId="0" applyFont="1" applyBorder="1" applyAlignment="1">
      <alignment horizontal="left" vertical="center" wrapText="1" readingOrder="1"/>
    </xf>
    <xf numFmtId="0" fontId="15" fillId="0" borderId="15" xfId="0" applyFont="1" applyBorder="1" applyAlignment="1">
      <alignment horizontal="left" vertical="center" wrapText="1" readingOrder="1"/>
    </xf>
    <xf numFmtId="176" fontId="16" fillId="0" borderId="0" xfId="0" applyNumberFormat="1" applyFont="1" applyAlignment="1">
      <alignment horizontal="left" vertical="center"/>
    </xf>
    <xf numFmtId="176" fontId="16" fillId="0" borderId="0" xfId="0" applyNumberFormat="1" applyFont="1" applyAlignment="1">
      <alignment horizontal="center" vertical="center" wrapText="1"/>
    </xf>
    <xf numFmtId="176" fontId="16" fillId="10" borderId="0" xfId="0" applyNumberFormat="1" applyFont="1" applyFill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7" fillId="8" borderId="18" xfId="0" applyNumberFormat="1" applyFont="1" applyFill="1" applyBorder="1" applyAlignment="1">
      <alignment horizontal="center" vertical="center"/>
    </xf>
    <xf numFmtId="176" fontId="18" fillId="8" borderId="18" xfId="0" applyNumberFormat="1" applyFont="1" applyFill="1" applyBorder="1" applyAlignment="1">
      <alignment horizontal="left" vertical="center" wrapText="1"/>
    </xf>
    <xf numFmtId="176" fontId="19" fillId="8" borderId="18" xfId="0" applyNumberFormat="1" applyFont="1" applyFill="1" applyBorder="1" applyAlignment="1">
      <alignment horizontal="center" vertical="center"/>
    </xf>
    <xf numFmtId="176" fontId="17" fillId="8" borderId="18" xfId="0" applyNumberFormat="1" applyFont="1" applyFill="1" applyBorder="1" applyAlignment="1">
      <alignment vertical="top" wrapText="1"/>
    </xf>
    <xf numFmtId="176" fontId="21" fillId="8" borderId="18" xfId="0" applyNumberFormat="1" applyFont="1" applyFill="1" applyBorder="1" applyAlignment="1">
      <alignment horizontal="left" vertical="center" wrapText="1"/>
    </xf>
    <xf numFmtId="176" fontId="21" fillId="0" borderId="18" xfId="0" applyNumberFormat="1" applyFont="1" applyBorder="1" applyAlignment="1">
      <alignment horizontal="left" vertical="center" wrapText="1"/>
    </xf>
    <xf numFmtId="176" fontId="22" fillId="0" borderId="18" xfId="0" applyNumberFormat="1" applyFont="1" applyBorder="1" applyAlignment="1">
      <alignment vertical="center"/>
    </xf>
    <xf numFmtId="176" fontId="23" fillId="0" borderId="18" xfId="1" applyNumberFormat="1" applyFont="1" applyFill="1" applyBorder="1" applyAlignment="1">
      <alignment horizontal="center" vertical="center"/>
    </xf>
    <xf numFmtId="176" fontId="19" fillId="0" borderId="18" xfId="1" applyNumberFormat="1" applyFont="1" applyFill="1" applyBorder="1" applyAlignment="1">
      <alignment horizontal="center" vertical="center"/>
    </xf>
    <xf numFmtId="176" fontId="25" fillId="0" borderId="18" xfId="0" applyNumberFormat="1" applyFont="1" applyBorder="1" applyAlignment="1">
      <alignment vertical="center"/>
    </xf>
    <xf numFmtId="176" fontId="26" fillId="0" borderId="18" xfId="1" applyNumberFormat="1" applyFont="1" applyBorder="1" applyAlignment="1">
      <alignment horizontal="center" vertical="center"/>
    </xf>
    <xf numFmtId="176" fontId="26" fillId="0" borderId="18" xfId="1" applyNumberFormat="1" applyFont="1" applyFill="1" applyBorder="1" applyAlignment="1">
      <alignment horizontal="center" vertical="center"/>
    </xf>
    <xf numFmtId="176" fontId="29" fillId="0" borderId="18" xfId="0" applyNumberFormat="1" applyFont="1" applyBorder="1" applyAlignment="1">
      <alignment horizontal="left" vertical="center" wrapText="1"/>
    </xf>
    <xf numFmtId="176" fontId="30" fillId="0" borderId="18" xfId="0" applyNumberFormat="1" applyFont="1" applyBorder="1" applyAlignment="1">
      <alignment vertical="center"/>
    </xf>
    <xf numFmtId="176" fontId="31" fillId="0" borderId="18" xfId="1" applyNumberFormat="1" applyFont="1" applyFill="1" applyBorder="1" applyAlignment="1">
      <alignment horizontal="center" vertical="center"/>
    </xf>
    <xf numFmtId="176" fontId="23" fillId="0" borderId="18" xfId="1" applyNumberFormat="1" applyFont="1" applyFill="1" applyBorder="1" applyAlignment="1">
      <alignment horizontal="left" vertical="center"/>
    </xf>
    <xf numFmtId="176" fontId="25" fillId="11" borderId="18" xfId="0" applyNumberFormat="1" applyFont="1" applyFill="1" applyBorder="1" applyAlignment="1">
      <alignment vertical="center"/>
    </xf>
    <xf numFmtId="176" fontId="26" fillId="11" borderId="18" xfId="1" applyNumberFormat="1" applyFont="1" applyFill="1" applyBorder="1" applyAlignment="1">
      <alignment horizontal="center" vertical="center"/>
    </xf>
    <xf numFmtId="176" fontId="26" fillId="0" borderId="18" xfId="1" applyNumberFormat="1" applyFont="1" applyFill="1" applyBorder="1" applyAlignment="1" applyProtection="1">
      <alignment horizontal="center" vertical="center"/>
    </xf>
    <xf numFmtId="176" fontId="32" fillId="12" borderId="18" xfId="1" applyNumberFormat="1" applyFont="1" applyFill="1" applyBorder="1" applyAlignment="1">
      <alignment horizontal="center" vertical="center"/>
    </xf>
    <xf numFmtId="176" fontId="17" fillId="8" borderId="18" xfId="0" applyNumberFormat="1" applyFont="1" applyFill="1" applyBorder="1" applyAlignment="1">
      <alignment vertical="center" wrapText="1"/>
    </xf>
    <xf numFmtId="176" fontId="33" fillId="0" borderId="18" xfId="0" applyNumberFormat="1" applyFont="1" applyBorder="1" applyAlignment="1">
      <alignment vertical="center"/>
    </xf>
    <xf numFmtId="176" fontId="17" fillId="8" borderId="18" xfId="0" applyNumberFormat="1" applyFont="1" applyFill="1" applyBorder="1" applyAlignment="1">
      <alignment vertical="top"/>
    </xf>
    <xf numFmtId="176" fontId="21" fillId="13" borderId="18" xfId="0" applyNumberFormat="1" applyFont="1" applyFill="1" applyBorder="1" applyAlignment="1">
      <alignment horizontal="left" vertical="center" wrapText="1"/>
    </xf>
    <xf numFmtId="176" fontId="26" fillId="11" borderId="18" xfId="1" applyNumberFormat="1" applyFont="1" applyFill="1" applyBorder="1" applyAlignment="1" applyProtection="1">
      <alignment horizontal="center" vertical="center"/>
    </xf>
    <xf numFmtId="176" fontId="20" fillId="0" borderId="18" xfId="0" applyNumberFormat="1" applyFont="1" applyBorder="1" applyAlignment="1">
      <alignment vertical="center"/>
    </xf>
    <xf numFmtId="176" fontId="29" fillId="13" borderId="18" xfId="0" applyNumberFormat="1" applyFont="1" applyFill="1" applyBorder="1" applyAlignment="1">
      <alignment horizontal="left" vertical="center" wrapText="1"/>
    </xf>
    <xf numFmtId="176" fontId="24" fillId="0" borderId="18" xfId="0" applyNumberFormat="1" applyFont="1" applyBorder="1" applyAlignment="1">
      <alignment horizontal="center" vertical="center"/>
    </xf>
    <xf numFmtId="176" fontId="27" fillId="0" borderId="18" xfId="0" applyNumberFormat="1" applyFont="1" applyBorder="1" applyAlignment="1">
      <alignment horizontal="center" vertical="center"/>
    </xf>
    <xf numFmtId="176" fontId="28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176" fontId="34" fillId="0" borderId="18" xfId="0" applyNumberFormat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workbookViewId="0">
      <selection activeCell="F9" sqref="F9"/>
    </sheetView>
  </sheetViews>
  <sheetFormatPr defaultRowHeight="14.25"/>
  <cols>
    <col min="1" max="1" width="12.5" customWidth="1"/>
    <col min="2" max="2" width="19.875" customWidth="1"/>
    <col min="3" max="9" width="11.25" customWidth="1"/>
    <col min="10" max="10" width="11.875" customWidth="1"/>
    <col min="11" max="11" width="12.625" customWidth="1"/>
  </cols>
  <sheetData>
    <row r="1" spans="1:11" ht="30.75" thickBot="1">
      <c r="A1" s="31" t="s">
        <v>77</v>
      </c>
      <c r="B1" s="32" t="s">
        <v>78</v>
      </c>
      <c r="C1" s="33" t="s">
        <v>79</v>
      </c>
      <c r="D1" s="34"/>
      <c r="E1" s="34"/>
      <c r="F1" s="35"/>
      <c r="G1" s="33" t="s">
        <v>80</v>
      </c>
      <c r="H1" s="35"/>
      <c r="I1" s="36" t="s">
        <v>81</v>
      </c>
      <c r="J1" s="36" t="s">
        <v>82</v>
      </c>
      <c r="K1" s="37" t="s">
        <v>83</v>
      </c>
    </row>
    <row r="2" spans="1:11" ht="45.75" thickBot="1">
      <c r="A2" s="35"/>
      <c r="B2" s="38"/>
      <c r="C2" s="36" t="s">
        <v>144</v>
      </c>
      <c r="D2" s="36" t="s">
        <v>145</v>
      </c>
      <c r="E2" s="36" t="s">
        <v>146</v>
      </c>
      <c r="F2" s="36" t="s">
        <v>147</v>
      </c>
      <c r="G2" s="36" t="s">
        <v>148</v>
      </c>
      <c r="H2" s="36" t="s">
        <v>149</v>
      </c>
      <c r="I2" s="36" t="s">
        <v>150</v>
      </c>
      <c r="J2" s="36" t="s">
        <v>151</v>
      </c>
      <c r="K2" s="37" t="s">
        <v>152</v>
      </c>
    </row>
    <row r="3" spans="1:11" ht="15" thickBot="1">
      <c r="A3" s="29" t="s">
        <v>84</v>
      </c>
      <c r="B3" s="29" t="s">
        <v>85</v>
      </c>
      <c r="C3" s="29">
        <v>40</v>
      </c>
      <c r="D3" s="29">
        <v>0</v>
      </c>
      <c r="E3" s="29">
        <v>60</v>
      </c>
      <c r="F3" s="29">
        <v>20</v>
      </c>
      <c r="G3" s="29">
        <v>100</v>
      </c>
      <c r="H3" s="29">
        <v>100</v>
      </c>
      <c r="I3" s="29">
        <v>100</v>
      </c>
      <c r="J3" s="29">
        <v>50</v>
      </c>
      <c r="K3" s="30">
        <v>20</v>
      </c>
    </row>
    <row r="4" spans="1:11" ht="15" thickBot="1">
      <c r="A4" s="29" t="s">
        <v>84</v>
      </c>
      <c r="B4" s="29" t="s">
        <v>86</v>
      </c>
      <c r="C4" s="29">
        <v>60</v>
      </c>
      <c r="D4" s="29">
        <v>60</v>
      </c>
      <c r="E4" s="29">
        <v>60</v>
      </c>
      <c r="F4" s="29">
        <v>20</v>
      </c>
      <c r="G4" s="29">
        <v>100</v>
      </c>
      <c r="H4" s="29">
        <v>100</v>
      </c>
      <c r="I4" s="29">
        <v>100</v>
      </c>
      <c r="J4" s="29">
        <v>50</v>
      </c>
      <c r="K4" s="30">
        <v>20</v>
      </c>
    </row>
    <row r="5" spans="1:11" ht="15" thickBot="1">
      <c r="A5" s="29" t="s">
        <v>84</v>
      </c>
      <c r="B5" s="29" t="s">
        <v>87</v>
      </c>
      <c r="C5" s="29">
        <v>60</v>
      </c>
      <c r="D5" s="29">
        <v>60</v>
      </c>
      <c r="E5" s="29">
        <v>60</v>
      </c>
      <c r="F5" s="29">
        <v>10</v>
      </c>
      <c r="G5" s="29">
        <v>100</v>
      </c>
      <c r="H5" s="29">
        <v>100</v>
      </c>
      <c r="I5" s="29">
        <v>100</v>
      </c>
      <c r="J5" s="29">
        <v>50</v>
      </c>
      <c r="K5" s="30">
        <v>20</v>
      </c>
    </row>
    <row r="6" spans="1:11" ht="15" thickBot="1">
      <c r="A6" s="29" t="s">
        <v>84</v>
      </c>
      <c r="B6" s="29" t="s">
        <v>88</v>
      </c>
      <c r="C6" s="29">
        <v>40</v>
      </c>
      <c r="D6" s="29">
        <v>40</v>
      </c>
      <c r="E6" s="29">
        <v>60</v>
      </c>
      <c r="F6" s="29">
        <v>10</v>
      </c>
      <c r="G6" s="29">
        <v>100</v>
      </c>
      <c r="H6" s="29">
        <v>80</v>
      </c>
      <c r="I6" s="29">
        <v>100</v>
      </c>
      <c r="J6" s="29">
        <v>50</v>
      </c>
      <c r="K6" s="30">
        <v>20</v>
      </c>
    </row>
    <row r="7" spans="1:11" ht="15" thickBot="1">
      <c r="A7" s="29" t="s">
        <v>84</v>
      </c>
      <c r="B7" s="29" t="s">
        <v>89</v>
      </c>
      <c r="C7" s="29">
        <v>0</v>
      </c>
      <c r="D7" s="29">
        <v>20</v>
      </c>
      <c r="E7" s="29">
        <v>60</v>
      </c>
      <c r="F7" s="29">
        <v>10</v>
      </c>
      <c r="G7" s="29">
        <v>100</v>
      </c>
      <c r="H7" s="29">
        <v>0</v>
      </c>
      <c r="I7" s="29">
        <v>100</v>
      </c>
      <c r="J7" s="29">
        <v>50</v>
      </c>
      <c r="K7" s="30">
        <v>20</v>
      </c>
    </row>
    <row r="8" spans="1:11" ht="15" thickBot="1">
      <c r="A8" s="29" t="s">
        <v>84</v>
      </c>
      <c r="B8" s="29" t="s">
        <v>90</v>
      </c>
      <c r="C8" s="29">
        <v>0</v>
      </c>
      <c r="D8" s="29">
        <v>40</v>
      </c>
      <c r="E8" s="29">
        <v>60</v>
      </c>
      <c r="F8" s="29">
        <v>20</v>
      </c>
      <c r="G8" s="29">
        <v>100</v>
      </c>
      <c r="H8" s="29">
        <v>0</v>
      </c>
      <c r="I8" s="29">
        <v>100</v>
      </c>
      <c r="J8" s="29">
        <v>50</v>
      </c>
      <c r="K8" s="30">
        <v>20</v>
      </c>
    </row>
    <row r="9" spans="1:11" ht="15" thickBot="1">
      <c r="A9" s="29" t="s">
        <v>84</v>
      </c>
      <c r="B9" s="29" t="s">
        <v>91</v>
      </c>
      <c r="C9" s="29">
        <v>40</v>
      </c>
      <c r="D9" s="29">
        <v>0</v>
      </c>
      <c r="E9" s="29">
        <v>40</v>
      </c>
      <c r="F9" s="29">
        <v>0</v>
      </c>
      <c r="G9" s="29">
        <v>80</v>
      </c>
      <c r="H9" s="29">
        <v>40</v>
      </c>
      <c r="I9" s="29">
        <v>100</v>
      </c>
      <c r="J9" s="29">
        <v>50</v>
      </c>
      <c r="K9" s="30">
        <v>20</v>
      </c>
    </row>
    <row r="10" spans="1:11" ht="15" thickBot="1">
      <c r="A10" s="29" t="s">
        <v>84</v>
      </c>
      <c r="B10" s="29" t="s">
        <v>92</v>
      </c>
      <c r="C10" s="29">
        <v>40</v>
      </c>
      <c r="D10" s="29">
        <v>40</v>
      </c>
      <c r="E10" s="29">
        <v>40</v>
      </c>
      <c r="F10" s="29">
        <v>0</v>
      </c>
      <c r="G10" s="29">
        <v>100</v>
      </c>
      <c r="H10" s="29">
        <v>100</v>
      </c>
      <c r="I10" s="29">
        <v>100</v>
      </c>
      <c r="J10" s="29">
        <v>50</v>
      </c>
      <c r="K10" s="30">
        <v>20</v>
      </c>
    </row>
    <row r="11" spans="1:11" ht="15" thickBot="1">
      <c r="A11" s="29" t="s">
        <v>93</v>
      </c>
      <c r="B11" s="29" t="s">
        <v>94</v>
      </c>
      <c r="C11" s="29">
        <v>40</v>
      </c>
      <c r="D11" s="29">
        <v>20</v>
      </c>
      <c r="E11" s="29">
        <v>60</v>
      </c>
      <c r="F11" s="29">
        <v>0</v>
      </c>
      <c r="G11" s="29">
        <v>60</v>
      </c>
      <c r="H11" s="29">
        <v>60</v>
      </c>
      <c r="I11" s="29">
        <v>100</v>
      </c>
      <c r="J11" s="29">
        <v>50</v>
      </c>
      <c r="K11" s="30">
        <v>20</v>
      </c>
    </row>
    <row r="12" spans="1:11" ht="29.25" thickBot="1">
      <c r="A12" s="29" t="s">
        <v>93</v>
      </c>
      <c r="B12" s="29" t="s">
        <v>95</v>
      </c>
      <c r="C12" s="29">
        <v>40</v>
      </c>
      <c r="D12" s="29">
        <v>20</v>
      </c>
      <c r="E12" s="29">
        <v>40</v>
      </c>
      <c r="F12" s="29">
        <v>10</v>
      </c>
      <c r="G12" s="29">
        <v>40</v>
      </c>
      <c r="H12" s="29">
        <v>80</v>
      </c>
      <c r="I12" s="29">
        <v>100</v>
      </c>
      <c r="J12" s="29">
        <v>50</v>
      </c>
      <c r="K12" s="30">
        <v>20</v>
      </c>
    </row>
    <row r="13" spans="1:11" ht="29.25" thickBot="1">
      <c r="A13" s="29" t="s">
        <v>93</v>
      </c>
      <c r="B13" s="29" t="s">
        <v>96</v>
      </c>
      <c r="C13" s="29">
        <v>40</v>
      </c>
      <c r="D13" s="29">
        <v>40</v>
      </c>
      <c r="E13" s="29">
        <v>60</v>
      </c>
      <c r="F13" s="29">
        <v>0</v>
      </c>
      <c r="G13" s="29">
        <v>80</v>
      </c>
      <c r="H13" s="29">
        <v>60</v>
      </c>
      <c r="I13" s="29">
        <v>100</v>
      </c>
      <c r="J13" s="29">
        <v>50</v>
      </c>
      <c r="K13" s="30">
        <v>20</v>
      </c>
    </row>
    <row r="14" spans="1:11" ht="15" thickBot="1">
      <c r="A14" s="29" t="s">
        <v>93</v>
      </c>
      <c r="B14" s="29" t="s">
        <v>97</v>
      </c>
      <c r="C14" s="29">
        <v>40</v>
      </c>
      <c r="D14" s="29">
        <v>20</v>
      </c>
      <c r="E14" s="29">
        <v>20</v>
      </c>
      <c r="F14" s="29">
        <v>20</v>
      </c>
      <c r="G14" s="29">
        <v>100</v>
      </c>
      <c r="H14" s="29">
        <v>60</v>
      </c>
      <c r="I14" s="29">
        <v>100</v>
      </c>
      <c r="J14" s="29">
        <v>50</v>
      </c>
      <c r="K14" s="30">
        <v>20</v>
      </c>
    </row>
    <row r="15" spans="1:11" ht="15" thickBot="1">
      <c r="A15" s="29" t="s">
        <v>93</v>
      </c>
      <c r="B15" s="29" t="s">
        <v>98</v>
      </c>
      <c r="C15" s="29">
        <v>0</v>
      </c>
      <c r="D15" s="29">
        <v>0</v>
      </c>
      <c r="E15" s="29">
        <v>20</v>
      </c>
      <c r="F15" s="29">
        <v>0</v>
      </c>
      <c r="G15" s="29">
        <v>100</v>
      </c>
      <c r="H15" s="29">
        <v>0</v>
      </c>
      <c r="I15" s="29">
        <v>100</v>
      </c>
      <c r="J15" s="29">
        <v>50</v>
      </c>
      <c r="K15" s="30">
        <v>20</v>
      </c>
    </row>
    <row r="16" spans="1:11" ht="29.25" thickBot="1">
      <c r="A16" s="29" t="s">
        <v>93</v>
      </c>
      <c r="B16" s="29" t="s">
        <v>99</v>
      </c>
      <c r="C16" s="29">
        <v>0</v>
      </c>
      <c r="D16" s="29">
        <v>20</v>
      </c>
      <c r="E16" s="29">
        <v>60</v>
      </c>
      <c r="F16" s="29">
        <v>10</v>
      </c>
      <c r="G16" s="29">
        <v>60</v>
      </c>
      <c r="H16" s="29">
        <v>0</v>
      </c>
      <c r="I16" s="29">
        <v>100</v>
      </c>
      <c r="J16" s="29">
        <v>50</v>
      </c>
      <c r="K16" s="30">
        <v>20</v>
      </c>
    </row>
    <row r="17" spans="1:11" ht="29.25" thickBot="1">
      <c r="A17" s="29" t="s">
        <v>93</v>
      </c>
      <c r="B17" s="29" t="s">
        <v>100</v>
      </c>
      <c r="C17" s="29">
        <v>40</v>
      </c>
      <c r="D17" s="29">
        <v>40</v>
      </c>
      <c r="E17" s="29">
        <v>40</v>
      </c>
      <c r="F17" s="29">
        <v>20</v>
      </c>
      <c r="G17" s="29">
        <v>100</v>
      </c>
      <c r="H17" s="29">
        <v>100</v>
      </c>
      <c r="I17" s="29">
        <v>100</v>
      </c>
      <c r="J17" s="29">
        <v>50</v>
      </c>
      <c r="K17" s="30">
        <v>20</v>
      </c>
    </row>
    <row r="18" spans="1:11" ht="15" thickBot="1">
      <c r="A18" s="29" t="s">
        <v>93</v>
      </c>
      <c r="B18" s="29" t="s">
        <v>101</v>
      </c>
      <c r="C18" s="29">
        <v>0</v>
      </c>
      <c r="D18" s="29">
        <v>0</v>
      </c>
      <c r="E18" s="29">
        <v>60</v>
      </c>
      <c r="F18" s="29">
        <v>0</v>
      </c>
      <c r="G18" s="29">
        <v>100</v>
      </c>
      <c r="H18" s="29">
        <v>0</v>
      </c>
      <c r="I18" s="29">
        <v>100</v>
      </c>
      <c r="J18" s="29">
        <v>50</v>
      </c>
      <c r="K18" s="30">
        <v>20</v>
      </c>
    </row>
    <row r="19" spans="1:11" ht="15" thickBot="1">
      <c r="A19" s="29" t="s">
        <v>93</v>
      </c>
      <c r="B19" s="29" t="s">
        <v>102</v>
      </c>
      <c r="C19" s="29">
        <v>40</v>
      </c>
      <c r="D19" s="29">
        <v>20</v>
      </c>
      <c r="E19" s="29">
        <v>40</v>
      </c>
      <c r="F19" s="29">
        <v>10</v>
      </c>
      <c r="G19" s="29">
        <v>100</v>
      </c>
      <c r="H19" s="29">
        <v>20</v>
      </c>
      <c r="I19" s="29">
        <v>100</v>
      </c>
      <c r="J19" s="29">
        <v>50</v>
      </c>
      <c r="K19" s="30">
        <v>20</v>
      </c>
    </row>
    <row r="20" spans="1:11" ht="29.25" thickBot="1">
      <c r="A20" s="29" t="s">
        <v>93</v>
      </c>
      <c r="B20" s="29" t="s">
        <v>103</v>
      </c>
      <c r="C20" s="29">
        <v>60</v>
      </c>
      <c r="D20" s="29">
        <v>60</v>
      </c>
      <c r="E20" s="29">
        <v>60</v>
      </c>
      <c r="F20" s="29">
        <v>10</v>
      </c>
      <c r="G20" s="29">
        <v>80</v>
      </c>
      <c r="H20" s="29">
        <v>100</v>
      </c>
      <c r="I20" s="29">
        <v>100</v>
      </c>
      <c r="J20" s="29">
        <v>50</v>
      </c>
      <c r="K20" s="30">
        <v>20</v>
      </c>
    </row>
    <row r="21" spans="1:11" ht="29.25" thickBot="1">
      <c r="A21" s="29" t="s">
        <v>93</v>
      </c>
      <c r="B21" s="29" t="s">
        <v>104</v>
      </c>
      <c r="C21" s="29">
        <v>0</v>
      </c>
      <c r="D21" s="29">
        <v>0</v>
      </c>
      <c r="E21" s="29">
        <v>40</v>
      </c>
      <c r="F21" s="29">
        <v>0</v>
      </c>
      <c r="G21" s="29">
        <v>100</v>
      </c>
      <c r="H21" s="29">
        <v>0</v>
      </c>
      <c r="I21" s="29">
        <v>100</v>
      </c>
      <c r="J21" s="29">
        <v>50</v>
      </c>
      <c r="K21" s="30">
        <v>20</v>
      </c>
    </row>
    <row r="22" spans="1:11" ht="29.25" thickBot="1">
      <c r="A22" s="29" t="s">
        <v>93</v>
      </c>
      <c r="B22" s="29" t="s">
        <v>105</v>
      </c>
      <c r="C22" s="29">
        <v>20</v>
      </c>
      <c r="D22" s="29">
        <v>20</v>
      </c>
      <c r="E22" s="29">
        <v>60</v>
      </c>
      <c r="F22" s="29">
        <v>0</v>
      </c>
      <c r="G22" s="29">
        <v>100</v>
      </c>
      <c r="H22" s="29">
        <v>20</v>
      </c>
      <c r="I22" s="29">
        <v>100</v>
      </c>
      <c r="J22" s="29">
        <v>50</v>
      </c>
      <c r="K22" s="30">
        <v>20</v>
      </c>
    </row>
    <row r="23" spans="1:11" ht="29.25" thickBot="1">
      <c r="A23" s="29" t="s">
        <v>93</v>
      </c>
      <c r="B23" s="29" t="s">
        <v>106</v>
      </c>
      <c r="C23" s="29">
        <v>20</v>
      </c>
      <c r="D23" s="29">
        <v>60</v>
      </c>
      <c r="E23" s="29">
        <v>60</v>
      </c>
      <c r="F23" s="29">
        <v>0</v>
      </c>
      <c r="G23" s="29">
        <v>100</v>
      </c>
      <c r="H23" s="29">
        <v>40</v>
      </c>
      <c r="I23" s="29">
        <v>100</v>
      </c>
      <c r="J23" s="29">
        <v>50</v>
      </c>
      <c r="K23" s="30">
        <v>20</v>
      </c>
    </row>
    <row r="24" spans="1:11" ht="29.25" thickBot="1">
      <c r="A24" s="29" t="s">
        <v>93</v>
      </c>
      <c r="B24" s="29" t="s">
        <v>107</v>
      </c>
      <c r="C24" s="29">
        <v>20</v>
      </c>
      <c r="D24" s="29">
        <v>20</v>
      </c>
      <c r="E24" s="29">
        <v>60</v>
      </c>
      <c r="F24" s="29">
        <v>0</v>
      </c>
      <c r="G24" s="29">
        <v>100</v>
      </c>
      <c r="H24" s="29">
        <v>40</v>
      </c>
      <c r="I24" s="29">
        <v>100</v>
      </c>
      <c r="J24" s="29">
        <v>50</v>
      </c>
      <c r="K24" s="30">
        <v>20</v>
      </c>
    </row>
    <row r="25" spans="1:11" ht="29.25" thickBot="1">
      <c r="A25" s="29" t="s">
        <v>93</v>
      </c>
      <c r="B25" s="29" t="s">
        <v>108</v>
      </c>
      <c r="C25" s="29">
        <v>0</v>
      </c>
      <c r="D25" s="29">
        <v>20</v>
      </c>
      <c r="E25" s="29">
        <v>40</v>
      </c>
      <c r="F25" s="29">
        <v>0</v>
      </c>
      <c r="G25" s="29">
        <v>100</v>
      </c>
      <c r="H25" s="29">
        <v>0</v>
      </c>
      <c r="I25" s="29">
        <v>100</v>
      </c>
      <c r="J25" s="29">
        <v>50</v>
      </c>
      <c r="K25" s="30">
        <v>20</v>
      </c>
    </row>
    <row r="26" spans="1:11" ht="15" thickBot="1">
      <c r="A26" s="29" t="s">
        <v>93</v>
      </c>
      <c r="B26" s="29" t="s">
        <v>109</v>
      </c>
      <c r="C26" s="29">
        <v>0</v>
      </c>
      <c r="D26" s="29">
        <v>20</v>
      </c>
      <c r="E26" s="29">
        <v>60</v>
      </c>
      <c r="F26" s="29">
        <v>0</v>
      </c>
      <c r="G26" s="29">
        <v>60</v>
      </c>
      <c r="H26" s="29">
        <v>0</v>
      </c>
      <c r="I26" s="29">
        <v>100</v>
      </c>
      <c r="J26" s="29">
        <v>50</v>
      </c>
      <c r="K26" s="30">
        <v>20</v>
      </c>
    </row>
    <row r="27" spans="1:11" ht="29.25" thickBot="1">
      <c r="A27" s="29" t="s">
        <v>93</v>
      </c>
      <c r="B27" s="29" t="s">
        <v>110</v>
      </c>
      <c r="C27" s="29">
        <v>0</v>
      </c>
      <c r="D27" s="29">
        <v>0</v>
      </c>
      <c r="E27" s="29">
        <v>40</v>
      </c>
      <c r="F27" s="29">
        <v>0</v>
      </c>
      <c r="G27" s="29">
        <v>80</v>
      </c>
      <c r="H27" s="29">
        <v>0</v>
      </c>
      <c r="I27" s="29">
        <v>100</v>
      </c>
      <c r="J27" s="29">
        <v>50</v>
      </c>
      <c r="K27" s="30">
        <v>20</v>
      </c>
    </row>
    <row r="28" spans="1:11" ht="29.25" thickBot="1">
      <c r="A28" s="29" t="s">
        <v>93</v>
      </c>
      <c r="B28" s="29" t="s">
        <v>111</v>
      </c>
      <c r="C28" s="29">
        <v>20</v>
      </c>
      <c r="D28" s="29">
        <v>0</v>
      </c>
      <c r="E28" s="29">
        <v>20</v>
      </c>
      <c r="F28" s="29">
        <v>0</v>
      </c>
      <c r="G28" s="29">
        <v>60</v>
      </c>
      <c r="H28" s="29">
        <v>20</v>
      </c>
      <c r="I28" s="29">
        <v>100</v>
      </c>
      <c r="J28" s="29">
        <v>50</v>
      </c>
      <c r="K28" s="30">
        <v>20</v>
      </c>
    </row>
    <row r="29" spans="1:11" ht="29.25" thickBot="1">
      <c r="A29" s="29" t="s">
        <v>93</v>
      </c>
      <c r="B29" s="29" t="s">
        <v>112</v>
      </c>
      <c r="C29" s="29">
        <v>0</v>
      </c>
      <c r="D29" s="29">
        <v>20</v>
      </c>
      <c r="E29" s="29">
        <v>20</v>
      </c>
      <c r="F29" s="29">
        <v>0</v>
      </c>
      <c r="G29" s="29">
        <v>40</v>
      </c>
      <c r="H29" s="29">
        <v>0</v>
      </c>
      <c r="I29" s="29">
        <v>100</v>
      </c>
      <c r="J29" s="29">
        <v>50</v>
      </c>
      <c r="K29" s="30">
        <v>20</v>
      </c>
    </row>
    <row r="30" spans="1:11" ht="15" thickBot="1">
      <c r="A30" s="29" t="s">
        <v>93</v>
      </c>
      <c r="B30" s="29" t="s">
        <v>113</v>
      </c>
      <c r="C30" s="29">
        <v>0</v>
      </c>
      <c r="D30" s="29">
        <v>20</v>
      </c>
      <c r="E30" s="29">
        <v>20</v>
      </c>
      <c r="F30" s="29">
        <v>0</v>
      </c>
      <c r="G30" s="29">
        <v>80</v>
      </c>
      <c r="H30" s="29">
        <v>0</v>
      </c>
      <c r="I30" s="29">
        <v>100</v>
      </c>
      <c r="J30" s="29">
        <v>50</v>
      </c>
      <c r="K30" s="30">
        <v>20</v>
      </c>
    </row>
    <row r="31" spans="1:11" ht="15" thickBot="1">
      <c r="A31" s="29" t="s">
        <v>93</v>
      </c>
      <c r="B31" s="29" t="s">
        <v>114</v>
      </c>
      <c r="C31" s="29">
        <v>0</v>
      </c>
      <c r="D31" s="29">
        <v>0</v>
      </c>
      <c r="E31" s="29">
        <v>40</v>
      </c>
      <c r="F31" s="29">
        <v>0</v>
      </c>
      <c r="G31" s="29">
        <v>40</v>
      </c>
      <c r="H31" s="29">
        <v>0</v>
      </c>
      <c r="I31" s="29">
        <v>100</v>
      </c>
      <c r="J31" s="29">
        <v>50</v>
      </c>
      <c r="K31" s="30">
        <v>20</v>
      </c>
    </row>
    <row r="32" spans="1:11" ht="15" thickBot="1">
      <c r="A32" s="29" t="s">
        <v>93</v>
      </c>
      <c r="B32" s="29" t="s">
        <v>115</v>
      </c>
      <c r="C32" s="29">
        <v>0</v>
      </c>
      <c r="D32" s="29">
        <v>0</v>
      </c>
      <c r="E32" s="29">
        <v>40</v>
      </c>
      <c r="F32" s="29">
        <v>0</v>
      </c>
      <c r="G32" s="29">
        <v>100</v>
      </c>
      <c r="H32" s="29">
        <v>0</v>
      </c>
      <c r="I32" s="29">
        <v>100</v>
      </c>
      <c r="J32" s="29">
        <v>50</v>
      </c>
      <c r="K32" s="30">
        <v>20</v>
      </c>
    </row>
    <row r="33" spans="1:11" ht="29.25" thickBot="1">
      <c r="A33" s="29" t="s">
        <v>93</v>
      </c>
      <c r="B33" s="29" t="s">
        <v>116</v>
      </c>
      <c r="C33" s="29">
        <v>0</v>
      </c>
      <c r="D33" s="29">
        <v>0</v>
      </c>
      <c r="E33" s="29">
        <v>40</v>
      </c>
      <c r="F33" s="29">
        <v>0</v>
      </c>
      <c r="G33" s="29">
        <v>100</v>
      </c>
      <c r="H33" s="29">
        <v>0</v>
      </c>
      <c r="I33" s="29">
        <v>100</v>
      </c>
      <c r="J33" s="29">
        <v>50</v>
      </c>
      <c r="K33" s="30">
        <v>20</v>
      </c>
    </row>
    <row r="34" spans="1:11" ht="15" thickBot="1">
      <c r="A34" s="29" t="s">
        <v>93</v>
      </c>
      <c r="B34" s="29" t="s">
        <v>117</v>
      </c>
      <c r="C34" s="29">
        <v>40</v>
      </c>
      <c r="D34" s="29">
        <v>40</v>
      </c>
      <c r="E34" s="29">
        <v>60</v>
      </c>
      <c r="F34" s="29">
        <v>0</v>
      </c>
      <c r="G34" s="29">
        <v>80</v>
      </c>
      <c r="H34" s="29">
        <v>100</v>
      </c>
      <c r="I34" s="29">
        <v>100</v>
      </c>
      <c r="J34" s="29">
        <v>50</v>
      </c>
      <c r="K34" s="30">
        <v>20</v>
      </c>
    </row>
    <row r="35" spans="1:11" ht="29.25" thickBot="1">
      <c r="A35" s="29" t="s">
        <v>93</v>
      </c>
      <c r="B35" s="29" t="s">
        <v>118</v>
      </c>
      <c r="C35" s="29">
        <v>20</v>
      </c>
      <c r="D35" s="29">
        <v>40</v>
      </c>
      <c r="E35" s="29">
        <v>40</v>
      </c>
      <c r="F35" s="29">
        <v>0</v>
      </c>
      <c r="G35" s="29">
        <v>60</v>
      </c>
      <c r="H35" s="29">
        <v>40</v>
      </c>
      <c r="I35" s="29">
        <v>100</v>
      </c>
      <c r="J35" s="29">
        <v>50</v>
      </c>
      <c r="K35" s="30">
        <v>20</v>
      </c>
    </row>
    <row r="36" spans="1:11" ht="15" thickBot="1">
      <c r="A36" s="29" t="s">
        <v>119</v>
      </c>
      <c r="B36" s="29" t="s">
        <v>120</v>
      </c>
      <c r="C36" s="29">
        <v>20</v>
      </c>
      <c r="D36" s="29">
        <v>60</v>
      </c>
      <c r="E36" s="29">
        <v>60</v>
      </c>
      <c r="F36" s="29">
        <v>0</v>
      </c>
      <c r="G36" s="29">
        <v>100</v>
      </c>
      <c r="H36" s="29">
        <v>80</v>
      </c>
      <c r="I36" s="29">
        <v>100</v>
      </c>
      <c r="J36" s="29">
        <v>50</v>
      </c>
      <c r="K36" s="30">
        <v>20</v>
      </c>
    </row>
    <row r="37" spans="1:11" ht="15" thickBot="1">
      <c r="A37" s="29" t="s">
        <v>119</v>
      </c>
      <c r="B37" s="29" t="s">
        <v>121</v>
      </c>
      <c r="C37" s="29">
        <v>20</v>
      </c>
      <c r="D37" s="29">
        <v>40</v>
      </c>
      <c r="E37" s="29">
        <v>60</v>
      </c>
      <c r="F37" s="29">
        <v>0</v>
      </c>
      <c r="G37" s="29">
        <v>100</v>
      </c>
      <c r="H37" s="29">
        <v>40</v>
      </c>
      <c r="I37" s="29">
        <v>100</v>
      </c>
      <c r="J37" s="29">
        <v>50</v>
      </c>
      <c r="K37" s="30">
        <v>20</v>
      </c>
    </row>
    <row r="38" spans="1:11" ht="15" thickBot="1">
      <c r="A38" s="29" t="s">
        <v>119</v>
      </c>
      <c r="B38" s="29" t="s">
        <v>122</v>
      </c>
      <c r="C38" s="29">
        <v>0</v>
      </c>
      <c r="D38" s="29">
        <v>40</v>
      </c>
      <c r="E38" s="29">
        <v>60</v>
      </c>
      <c r="F38" s="29">
        <v>0</v>
      </c>
      <c r="G38" s="29">
        <v>100</v>
      </c>
      <c r="H38" s="29">
        <v>0</v>
      </c>
      <c r="I38" s="29">
        <v>100</v>
      </c>
      <c r="J38" s="29">
        <v>50</v>
      </c>
      <c r="K38" s="30">
        <v>20</v>
      </c>
    </row>
    <row r="39" spans="1:11" ht="15" thickBot="1">
      <c r="A39" s="29" t="s">
        <v>119</v>
      </c>
      <c r="B39" s="29" t="s">
        <v>123</v>
      </c>
      <c r="C39" s="29">
        <v>0</v>
      </c>
      <c r="D39" s="29">
        <v>0</v>
      </c>
      <c r="E39" s="29">
        <v>60</v>
      </c>
      <c r="F39" s="29">
        <v>0</v>
      </c>
      <c r="G39" s="29">
        <v>100</v>
      </c>
      <c r="H39" s="29">
        <v>0</v>
      </c>
      <c r="I39" s="29">
        <v>100</v>
      </c>
      <c r="J39" s="29">
        <v>50</v>
      </c>
      <c r="K39" s="30">
        <v>20</v>
      </c>
    </row>
    <row r="40" spans="1:11" ht="15" thickBot="1">
      <c r="A40" s="29" t="s">
        <v>124</v>
      </c>
      <c r="B40" s="29" t="s">
        <v>125</v>
      </c>
      <c r="C40" s="29">
        <v>40</v>
      </c>
      <c r="D40" s="29">
        <v>60</v>
      </c>
      <c r="E40" s="29">
        <v>60</v>
      </c>
      <c r="F40" s="29">
        <v>0</v>
      </c>
      <c r="G40" s="29">
        <v>100</v>
      </c>
      <c r="H40" s="29">
        <v>100</v>
      </c>
      <c r="I40" s="29">
        <v>100</v>
      </c>
      <c r="J40" s="29">
        <v>50</v>
      </c>
      <c r="K40" s="30">
        <v>20</v>
      </c>
    </row>
    <row r="41" spans="1:11" ht="15" thickBot="1">
      <c r="A41" s="29" t="s">
        <v>124</v>
      </c>
      <c r="B41" s="29" t="s">
        <v>126</v>
      </c>
      <c r="C41" s="29">
        <v>0</v>
      </c>
      <c r="D41" s="29">
        <v>60</v>
      </c>
      <c r="E41" s="29">
        <v>60</v>
      </c>
      <c r="F41" s="29">
        <v>0</v>
      </c>
      <c r="G41" s="29">
        <v>100</v>
      </c>
      <c r="H41" s="29">
        <v>0</v>
      </c>
      <c r="I41" s="29">
        <v>100</v>
      </c>
      <c r="J41" s="29">
        <v>50</v>
      </c>
      <c r="K41" s="30">
        <v>20</v>
      </c>
    </row>
    <row r="42" spans="1:11" ht="15" thickBot="1">
      <c r="A42" s="29" t="s">
        <v>124</v>
      </c>
      <c r="B42" s="29" t="s">
        <v>127</v>
      </c>
      <c r="C42" s="29">
        <v>40</v>
      </c>
      <c r="D42" s="29">
        <v>0</v>
      </c>
      <c r="E42" s="29">
        <v>40</v>
      </c>
      <c r="F42" s="29">
        <v>10</v>
      </c>
      <c r="G42" s="29">
        <v>60</v>
      </c>
      <c r="H42" s="29">
        <v>80</v>
      </c>
      <c r="I42" s="29">
        <v>100</v>
      </c>
      <c r="J42" s="29">
        <v>50</v>
      </c>
      <c r="K42" s="30">
        <v>20</v>
      </c>
    </row>
    <row r="43" spans="1:11" ht="15" thickBot="1">
      <c r="A43" s="29" t="s">
        <v>124</v>
      </c>
      <c r="B43" s="29" t="s">
        <v>128</v>
      </c>
      <c r="C43" s="29">
        <v>40</v>
      </c>
      <c r="D43" s="29">
        <v>0</v>
      </c>
      <c r="E43" s="29">
        <v>40</v>
      </c>
      <c r="F43" s="29">
        <v>0</v>
      </c>
      <c r="G43" s="29">
        <v>80</v>
      </c>
      <c r="H43" s="29">
        <v>60</v>
      </c>
      <c r="I43" s="29">
        <v>100</v>
      </c>
      <c r="J43" s="29">
        <v>50</v>
      </c>
      <c r="K43" s="30">
        <v>20</v>
      </c>
    </row>
    <row r="44" spans="1:11" ht="15" thickBot="1">
      <c r="A44" s="29" t="s">
        <v>124</v>
      </c>
      <c r="B44" s="29" t="s">
        <v>129</v>
      </c>
      <c r="C44" s="29">
        <v>40</v>
      </c>
      <c r="D44" s="29">
        <v>20</v>
      </c>
      <c r="E44" s="29">
        <v>60</v>
      </c>
      <c r="F44" s="29">
        <v>0</v>
      </c>
      <c r="G44" s="29">
        <v>60</v>
      </c>
      <c r="H44" s="29">
        <v>80</v>
      </c>
      <c r="I44" s="29">
        <v>100</v>
      </c>
      <c r="J44" s="29">
        <v>50</v>
      </c>
      <c r="K44" s="30">
        <v>20</v>
      </c>
    </row>
    <row r="45" spans="1:11" ht="15" thickBot="1">
      <c r="A45" s="29" t="s">
        <v>124</v>
      </c>
      <c r="B45" s="29" t="s">
        <v>130</v>
      </c>
      <c r="C45" s="29">
        <v>0</v>
      </c>
      <c r="D45" s="29">
        <v>40</v>
      </c>
      <c r="E45" s="29">
        <v>60</v>
      </c>
      <c r="F45" s="29">
        <v>0</v>
      </c>
      <c r="G45" s="29">
        <v>40</v>
      </c>
      <c r="H45" s="29">
        <v>20</v>
      </c>
      <c r="I45" s="29">
        <v>100</v>
      </c>
      <c r="J45" s="29">
        <v>50</v>
      </c>
      <c r="K45" s="30">
        <v>20</v>
      </c>
    </row>
    <row r="46" spans="1:11" ht="15" thickBot="1">
      <c r="A46" s="29" t="s">
        <v>131</v>
      </c>
      <c r="B46" s="29" t="s">
        <v>132</v>
      </c>
      <c r="C46" s="29">
        <v>40</v>
      </c>
      <c r="D46" s="29">
        <v>20</v>
      </c>
      <c r="E46" s="29">
        <v>60</v>
      </c>
      <c r="F46" s="29">
        <v>10</v>
      </c>
      <c r="G46" s="29">
        <v>100</v>
      </c>
      <c r="H46" s="29">
        <v>100</v>
      </c>
      <c r="I46" s="29">
        <v>100</v>
      </c>
      <c r="J46" s="29">
        <v>20</v>
      </c>
      <c r="K46" s="30">
        <v>10</v>
      </c>
    </row>
    <row r="47" spans="1:11" ht="15" thickBot="1">
      <c r="A47" s="29" t="s">
        <v>131</v>
      </c>
      <c r="B47" s="29" t="s">
        <v>133</v>
      </c>
      <c r="C47" s="29">
        <v>40</v>
      </c>
      <c r="D47" s="29">
        <v>20</v>
      </c>
      <c r="E47" s="29">
        <v>40</v>
      </c>
      <c r="F47" s="29">
        <v>0</v>
      </c>
      <c r="G47" s="29">
        <v>100</v>
      </c>
      <c r="H47" s="29">
        <v>80</v>
      </c>
      <c r="I47" s="29">
        <v>100</v>
      </c>
      <c r="J47" s="29">
        <v>20</v>
      </c>
      <c r="K47" s="30">
        <v>10</v>
      </c>
    </row>
    <row r="48" spans="1:11" ht="15" thickBot="1">
      <c r="A48" s="29" t="s">
        <v>131</v>
      </c>
      <c r="B48" s="29" t="s">
        <v>11</v>
      </c>
      <c r="C48" s="29">
        <v>0</v>
      </c>
      <c r="D48" s="29">
        <v>0</v>
      </c>
      <c r="E48" s="29">
        <v>60</v>
      </c>
      <c r="F48" s="29">
        <v>0</v>
      </c>
      <c r="G48" s="29">
        <v>40</v>
      </c>
      <c r="H48" s="29">
        <v>0</v>
      </c>
      <c r="I48" s="29">
        <v>100</v>
      </c>
      <c r="J48" s="29">
        <v>20</v>
      </c>
      <c r="K48" s="30">
        <v>10</v>
      </c>
    </row>
    <row r="49" spans="1:11" ht="15" thickBot="1">
      <c r="A49" s="29" t="s">
        <v>131</v>
      </c>
      <c r="B49" s="29" t="s">
        <v>134</v>
      </c>
      <c r="C49" s="29">
        <v>60</v>
      </c>
      <c r="D49" s="29">
        <v>20</v>
      </c>
      <c r="E49" s="29">
        <v>60</v>
      </c>
      <c r="F49" s="29">
        <v>20</v>
      </c>
      <c r="G49" s="29">
        <v>80</v>
      </c>
      <c r="H49" s="29">
        <v>100</v>
      </c>
      <c r="I49" s="29">
        <v>100</v>
      </c>
      <c r="J49" s="29">
        <v>20</v>
      </c>
      <c r="K49" s="30">
        <v>10</v>
      </c>
    </row>
    <row r="50" spans="1:11" ht="15" thickBot="1">
      <c r="A50" s="29" t="s">
        <v>131</v>
      </c>
      <c r="B50" s="29" t="s">
        <v>135</v>
      </c>
      <c r="C50" s="29">
        <v>40</v>
      </c>
      <c r="D50" s="29">
        <v>0</v>
      </c>
      <c r="E50" s="29">
        <v>60</v>
      </c>
      <c r="F50" s="29">
        <v>0</v>
      </c>
      <c r="G50" s="29">
        <v>60</v>
      </c>
      <c r="H50" s="29">
        <v>40</v>
      </c>
      <c r="I50" s="29">
        <v>100</v>
      </c>
      <c r="J50" s="29">
        <v>20</v>
      </c>
      <c r="K50" s="30">
        <v>10</v>
      </c>
    </row>
    <row r="51" spans="1:11" ht="15" thickBot="1">
      <c r="A51" s="29" t="s">
        <v>131</v>
      </c>
      <c r="B51" s="29" t="s">
        <v>12</v>
      </c>
      <c r="C51" s="29">
        <v>0</v>
      </c>
      <c r="D51" s="29">
        <v>0</v>
      </c>
      <c r="E51" s="29">
        <v>60</v>
      </c>
      <c r="F51" s="29">
        <v>20</v>
      </c>
      <c r="G51" s="29">
        <v>40</v>
      </c>
      <c r="H51" s="29">
        <v>0</v>
      </c>
      <c r="I51" s="29">
        <v>100</v>
      </c>
      <c r="J51" s="29">
        <v>20</v>
      </c>
      <c r="K51" s="30">
        <v>10</v>
      </c>
    </row>
    <row r="52" spans="1:11" ht="29.25" thickBot="1">
      <c r="A52" s="29" t="s">
        <v>131</v>
      </c>
      <c r="B52" s="29" t="s">
        <v>136</v>
      </c>
      <c r="C52" s="29">
        <v>0</v>
      </c>
      <c r="D52" s="29">
        <v>0</v>
      </c>
      <c r="E52" s="29">
        <v>60</v>
      </c>
      <c r="F52" s="29">
        <v>20</v>
      </c>
      <c r="G52" s="29">
        <v>100</v>
      </c>
      <c r="H52" s="29">
        <v>0</v>
      </c>
      <c r="I52" s="29">
        <v>100</v>
      </c>
      <c r="J52" s="29">
        <v>20</v>
      </c>
      <c r="K52" s="30">
        <v>10</v>
      </c>
    </row>
    <row r="53" spans="1:11" ht="15" thickBot="1">
      <c r="A53" s="29" t="s">
        <v>131</v>
      </c>
      <c r="B53" s="29" t="s">
        <v>137</v>
      </c>
      <c r="C53" s="29">
        <v>40</v>
      </c>
      <c r="D53" s="29">
        <v>60</v>
      </c>
      <c r="E53" s="29">
        <v>60</v>
      </c>
      <c r="F53" s="29">
        <v>0</v>
      </c>
      <c r="G53" s="29">
        <v>80</v>
      </c>
      <c r="H53" s="29">
        <v>40</v>
      </c>
      <c r="I53" s="29">
        <v>100</v>
      </c>
      <c r="J53" s="29">
        <v>20</v>
      </c>
      <c r="K53" s="30">
        <v>10</v>
      </c>
    </row>
    <row r="54" spans="1:11" ht="15" thickBot="1">
      <c r="A54" s="29" t="s">
        <v>131</v>
      </c>
      <c r="B54" s="29" t="s">
        <v>138</v>
      </c>
      <c r="C54" s="29">
        <v>0</v>
      </c>
      <c r="D54" s="29">
        <v>20</v>
      </c>
      <c r="E54" s="29">
        <v>60</v>
      </c>
      <c r="F54" s="29">
        <v>0</v>
      </c>
      <c r="G54" s="29">
        <v>100</v>
      </c>
      <c r="H54" s="29">
        <v>0</v>
      </c>
      <c r="I54" s="29">
        <v>100</v>
      </c>
      <c r="J54" s="29">
        <v>20</v>
      </c>
      <c r="K54" s="30">
        <v>20</v>
      </c>
    </row>
    <row r="55" spans="1:11" ht="15" thickBot="1">
      <c r="A55" s="29" t="s">
        <v>131</v>
      </c>
      <c r="B55" s="29" t="s">
        <v>139</v>
      </c>
      <c r="C55" s="29">
        <v>20</v>
      </c>
      <c r="D55" s="29">
        <v>20</v>
      </c>
      <c r="E55" s="29">
        <v>40</v>
      </c>
      <c r="F55" s="29">
        <v>20</v>
      </c>
      <c r="G55" s="29">
        <v>100</v>
      </c>
      <c r="H55" s="29">
        <v>20</v>
      </c>
      <c r="I55" s="29">
        <v>100</v>
      </c>
      <c r="J55" s="29">
        <v>20</v>
      </c>
      <c r="K55" s="30">
        <v>10</v>
      </c>
    </row>
    <row r="56" spans="1:11" ht="15" thickBot="1">
      <c r="A56" s="29" t="s">
        <v>131</v>
      </c>
      <c r="B56" s="29" t="s">
        <v>140</v>
      </c>
      <c r="C56" s="29">
        <v>0</v>
      </c>
      <c r="D56" s="29">
        <v>20</v>
      </c>
      <c r="E56" s="29">
        <v>60</v>
      </c>
      <c r="F56" s="29">
        <v>10</v>
      </c>
      <c r="G56" s="29">
        <v>100</v>
      </c>
      <c r="H56" s="29">
        <v>0</v>
      </c>
      <c r="I56" s="29">
        <v>100</v>
      </c>
      <c r="J56" s="29">
        <v>20</v>
      </c>
      <c r="K56" s="30">
        <v>10</v>
      </c>
    </row>
    <row r="57" spans="1:11" ht="15" thickBot="1">
      <c r="A57" s="29" t="s">
        <v>131</v>
      </c>
      <c r="B57" s="29" t="s">
        <v>141</v>
      </c>
      <c r="C57" s="29">
        <v>40</v>
      </c>
      <c r="D57" s="29">
        <v>20</v>
      </c>
      <c r="E57" s="29">
        <v>40</v>
      </c>
      <c r="F57" s="29">
        <v>0</v>
      </c>
      <c r="G57" s="29">
        <v>80</v>
      </c>
      <c r="H57" s="29">
        <v>20</v>
      </c>
      <c r="I57" s="29">
        <v>100</v>
      </c>
      <c r="J57" s="29">
        <v>20</v>
      </c>
      <c r="K57" s="30">
        <v>10</v>
      </c>
    </row>
    <row r="58" spans="1:11" ht="29.25" thickBot="1">
      <c r="A58" s="29" t="s">
        <v>131</v>
      </c>
      <c r="B58" s="29" t="s">
        <v>142</v>
      </c>
      <c r="C58" s="29">
        <v>60</v>
      </c>
      <c r="D58" s="29">
        <v>40</v>
      </c>
      <c r="E58" s="29">
        <v>40</v>
      </c>
      <c r="F58" s="29">
        <v>0</v>
      </c>
      <c r="G58" s="29">
        <v>100</v>
      </c>
      <c r="H58" s="29">
        <v>60</v>
      </c>
      <c r="I58" s="29">
        <v>100</v>
      </c>
      <c r="J58" s="29">
        <v>20</v>
      </c>
      <c r="K58" s="30">
        <v>10</v>
      </c>
    </row>
    <row r="59" spans="1:11" ht="29.25" thickBot="1">
      <c r="A59" s="29" t="s">
        <v>131</v>
      </c>
      <c r="B59" s="29" t="s">
        <v>143</v>
      </c>
      <c r="C59" s="29">
        <v>20</v>
      </c>
      <c r="D59" s="29">
        <v>20</v>
      </c>
      <c r="E59" s="29">
        <v>40</v>
      </c>
      <c r="F59" s="29">
        <v>0</v>
      </c>
      <c r="G59" s="29">
        <v>80</v>
      </c>
      <c r="H59" s="29">
        <v>20</v>
      </c>
      <c r="I59" s="29">
        <v>100</v>
      </c>
      <c r="J59" s="29">
        <v>20</v>
      </c>
      <c r="K59" s="30">
        <v>20</v>
      </c>
    </row>
  </sheetData>
  <mergeCells count="4">
    <mergeCell ref="A1:A2"/>
    <mergeCell ref="B1:B2"/>
    <mergeCell ref="C1:F1"/>
    <mergeCell ref="G1:H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472B-7874-499A-A297-2AC271640140}">
  <dimension ref="A1:O42"/>
  <sheetViews>
    <sheetView workbookViewId="0">
      <selection activeCell="B17" sqref="A17:XFD17"/>
    </sheetView>
  </sheetViews>
  <sheetFormatPr defaultRowHeight="14.25"/>
  <cols>
    <col min="1" max="1" width="25.5" customWidth="1"/>
    <col min="2" max="2" width="32" customWidth="1"/>
  </cols>
  <sheetData>
    <row r="1" spans="1:15" ht="105.75" thickBot="1">
      <c r="A1" s="39" t="s">
        <v>153</v>
      </c>
      <c r="B1" s="40" t="s">
        <v>154</v>
      </c>
      <c r="C1" s="41" t="s">
        <v>155</v>
      </c>
      <c r="D1" s="41" t="s">
        <v>156</v>
      </c>
      <c r="E1" s="41" t="s">
        <v>157</v>
      </c>
      <c r="F1" s="41" t="s">
        <v>158</v>
      </c>
      <c r="G1" s="41" t="s">
        <v>159</v>
      </c>
      <c r="H1" s="41" t="s">
        <v>160</v>
      </c>
      <c r="I1" s="41" t="s">
        <v>161</v>
      </c>
      <c r="J1" s="41" t="s">
        <v>162</v>
      </c>
      <c r="K1" s="41" t="s">
        <v>163</v>
      </c>
      <c r="L1" s="41" t="s">
        <v>164</v>
      </c>
      <c r="M1" s="41" t="s">
        <v>165</v>
      </c>
      <c r="N1" s="41" t="s">
        <v>166</v>
      </c>
      <c r="O1" s="41" t="s">
        <v>83</v>
      </c>
    </row>
    <row r="2" spans="1:15" ht="33.75" thickBot="1">
      <c r="A2" s="45" t="s">
        <v>100</v>
      </c>
      <c r="B2" s="42" t="s">
        <v>6</v>
      </c>
      <c r="C2" s="47">
        <v>12.5</v>
      </c>
      <c r="D2" s="47">
        <v>12.5</v>
      </c>
      <c r="E2" s="47">
        <v>10</v>
      </c>
      <c r="F2" s="47" t="s">
        <v>167</v>
      </c>
      <c r="G2" s="47">
        <v>7.5</v>
      </c>
      <c r="H2" s="47">
        <v>7.5</v>
      </c>
      <c r="I2" s="47">
        <v>12.5</v>
      </c>
      <c r="J2" s="47">
        <v>12.5</v>
      </c>
      <c r="K2" s="47">
        <v>5</v>
      </c>
      <c r="L2" s="47">
        <v>5</v>
      </c>
      <c r="M2" s="47">
        <v>5</v>
      </c>
      <c r="N2" s="47">
        <v>5</v>
      </c>
      <c r="O2" s="47">
        <v>5</v>
      </c>
    </row>
    <row r="3" spans="1:15" ht="17.25" thickBot="1">
      <c r="A3" s="46"/>
      <c r="B3" s="42" t="s">
        <v>168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33.75" thickBot="1">
      <c r="A4" s="49" t="s">
        <v>169</v>
      </c>
      <c r="B4" s="43" t="s">
        <v>170</v>
      </c>
      <c r="C4" s="52">
        <v>12.5</v>
      </c>
      <c r="D4" s="52">
        <v>12.5</v>
      </c>
      <c r="E4" s="52">
        <v>17.5</v>
      </c>
      <c r="F4" s="52" t="s">
        <v>171</v>
      </c>
      <c r="G4" s="52" t="s">
        <v>171</v>
      </c>
      <c r="H4" s="52">
        <v>7.5</v>
      </c>
      <c r="I4" s="52">
        <v>12.5</v>
      </c>
      <c r="J4" s="52">
        <v>12.5</v>
      </c>
      <c r="K4" s="52">
        <v>5</v>
      </c>
      <c r="L4" s="52">
        <v>5</v>
      </c>
      <c r="M4" s="52">
        <v>5</v>
      </c>
      <c r="N4" s="52">
        <v>5</v>
      </c>
      <c r="O4" s="52">
        <v>5</v>
      </c>
    </row>
    <row r="5" spans="1:15" ht="17.25" thickBot="1">
      <c r="A5" s="50"/>
      <c r="B5" s="43" t="s">
        <v>85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50.25" thickBot="1">
      <c r="A6" s="50"/>
      <c r="B6" s="43" t="s">
        <v>172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spans="1:15" ht="17.25" thickBot="1">
      <c r="A7" s="50"/>
      <c r="B7" s="43" t="s">
        <v>117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5" ht="17.25" thickBot="1">
      <c r="A8" s="50"/>
      <c r="B8" s="42" t="s">
        <v>102</v>
      </c>
      <c r="C8" s="55" t="s">
        <v>171</v>
      </c>
      <c r="D8" s="55" t="s">
        <v>171</v>
      </c>
      <c r="E8" s="55">
        <v>12.5</v>
      </c>
      <c r="F8" s="55" t="s">
        <v>171</v>
      </c>
      <c r="G8" s="55">
        <v>10</v>
      </c>
      <c r="H8" s="55">
        <v>10</v>
      </c>
      <c r="I8" s="55">
        <v>15</v>
      </c>
      <c r="J8" s="55">
        <v>15</v>
      </c>
      <c r="K8" s="55">
        <v>7.5</v>
      </c>
      <c r="L8" s="55">
        <v>7.5</v>
      </c>
      <c r="M8" s="55">
        <v>7.5</v>
      </c>
      <c r="N8" s="55">
        <v>7.5</v>
      </c>
      <c r="O8" s="55">
        <v>7.5</v>
      </c>
    </row>
    <row r="9" spans="1:15" ht="17.25" thickBot="1">
      <c r="A9" s="50"/>
      <c r="B9" s="42" t="s">
        <v>101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5" ht="33.75" thickBot="1">
      <c r="A10" s="50"/>
      <c r="B10" s="42" t="s">
        <v>173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5" ht="33.75" thickBot="1">
      <c r="A11" s="50"/>
      <c r="B11" s="42" t="s">
        <v>174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</row>
    <row r="12" spans="1:15" ht="17.25" thickBot="1">
      <c r="A12" s="50"/>
      <c r="B12" s="42" t="s">
        <v>175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5" ht="33.75" thickBot="1">
      <c r="A13" s="50"/>
      <c r="B13" s="42" t="s">
        <v>176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</row>
    <row r="14" spans="1:15" ht="17.25" thickBot="1">
      <c r="A14" s="50"/>
      <c r="B14" s="42" t="s">
        <v>94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</row>
    <row r="15" spans="1:15" ht="50.25" thickBot="1">
      <c r="A15" s="50"/>
      <c r="B15" s="42" t="s">
        <v>177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</row>
    <row r="16" spans="1:15" ht="17.25" thickBot="1">
      <c r="A16" s="51"/>
      <c r="B16" s="42" t="s">
        <v>178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1:15" ht="17.25" thickBot="1">
      <c r="A17" s="56" t="s">
        <v>179</v>
      </c>
      <c r="B17" s="43" t="s">
        <v>180</v>
      </c>
      <c r="C17" s="47">
        <v>12.5</v>
      </c>
      <c r="D17" s="47">
        <v>12.5</v>
      </c>
      <c r="E17" s="47">
        <v>15</v>
      </c>
      <c r="F17" s="47" t="s">
        <v>171</v>
      </c>
      <c r="G17" s="47" t="s">
        <v>171</v>
      </c>
      <c r="H17" s="47">
        <v>10</v>
      </c>
      <c r="I17" s="47">
        <v>15</v>
      </c>
      <c r="J17" s="47">
        <v>10</v>
      </c>
      <c r="K17" s="47">
        <v>5</v>
      </c>
      <c r="L17" s="47">
        <v>5</v>
      </c>
      <c r="M17" s="47">
        <v>5</v>
      </c>
      <c r="N17" s="47">
        <v>5</v>
      </c>
      <c r="O17" s="47">
        <v>5</v>
      </c>
    </row>
    <row r="18" spans="1:15" ht="17.25" thickBot="1">
      <c r="A18" s="57"/>
      <c r="B18" s="43" t="s">
        <v>87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</row>
    <row r="19" spans="1:15" ht="17.25" thickBot="1">
      <c r="A19" s="57"/>
      <c r="B19" s="43" t="s">
        <v>125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</row>
    <row r="20" spans="1:15" ht="17.25" thickBot="1">
      <c r="A20" s="57"/>
      <c r="B20" s="43" t="s">
        <v>181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</row>
    <row r="21" spans="1:15" ht="17.25" thickBot="1">
      <c r="A21" s="57"/>
      <c r="B21" s="43" t="s">
        <v>88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</row>
    <row r="22" spans="1:15" ht="17.25" thickBot="1">
      <c r="A22" s="57"/>
      <c r="B22" s="43" t="s">
        <v>182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</row>
    <row r="23" spans="1:15" ht="17.25" thickBot="1">
      <c r="A23" s="57"/>
      <c r="B23" s="43" t="s">
        <v>183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</row>
    <row r="24" spans="1:15" ht="17.25" thickBot="1">
      <c r="A24" s="57"/>
      <c r="B24" s="43" t="s">
        <v>184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</row>
    <row r="25" spans="1:15" ht="17.25" thickBot="1">
      <c r="A25" s="57"/>
      <c r="B25" s="43" t="s">
        <v>185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</row>
    <row r="26" spans="1:15" ht="17.25" thickBot="1">
      <c r="A26" s="57"/>
      <c r="B26" s="43" t="s">
        <v>186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1:15" ht="17.25" thickBot="1">
      <c r="A27" s="57"/>
      <c r="B27" s="43" t="s">
        <v>187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</row>
    <row r="28" spans="1:15" ht="17.25" thickBot="1">
      <c r="A28" s="57"/>
      <c r="B28" s="43" t="s">
        <v>86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</row>
    <row r="29" spans="1:15" ht="17.25" thickBot="1">
      <c r="A29" s="57"/>
      <c r="B29" s="43" t="s">
        <v>188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1:15" ht="17.25" thickBot="1">
      <c r="A30" s="57"/>
      <c r="B30" s="42" t="s">
        <v>189</v>
      </c>
      <c r="C30" s="47" t="s">
        <v>190</v>
      </c>
      <c r="D30" s="47" t="s">
        <v>171</v>
      </c>
      <c r="E30" s="47">
        <v>17.5</v>
      </c>
      <c r="F30" s="47" t="s">
        <v>171</v>
      </c>
      <c r="G30" s="47">
        <v>2.5</v>
      </c>
      <c r="H30" s="47">
        <v>12.5</v>
      </c>
      <c r="I30" s="47">
        <v>17.5</v>
      </c>
      <c r="J30" s="47">
        <v>12.5</v>
      </c>
      <c r="K30" s="47">
        <v>7.5</v>
      </c>
      <c r="L30" s="47">
        <v>7.5</v>
      </c>
      <c r="M30" s="47">
        <v>7.5</v>
      </c>
      <c r="N30" s="47">
        <v>7.5</v>
      </c>
      <c r="O30" s="47">
        <v>7.5</v>
      </c>
    </row>
    <row r="31" spans="1:15" ht="17.25" thickBot="1">
      <c r="A31" s="57"/>
      <c r="B31" s="42" t="s">
        <v>191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</row>
    <row r="32" spans="1:15" ht="17.25" thickBot="1">
      <c r="A32" s="57"/>
      <c r="B32" s="42" t="s">
        <v>192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</row>
    <row r="33" spans="1:15" ht="17.25" thickBot="1">
      <c r="A33" s="57"/>
      <c r="B33" s="42" t="s">
        <v>193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</row>
    <row r="34" spans="1:15" ht="17.25" thickBot="1">
      <c r="A34" s="57"/>
      <c r="B34" s="42" t="s">
        <v>194</v>
      </c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</row>
    <row r="35" spans="1:15" ht="17.25" thickBot="1">
      <c r="A35" s="57"/>
      <c r="B35" s="42" t="s">
        <v>195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</row>
    <row r="36" spans="1:15" ht="17.25" thickBot="1">
      <c r="A36" s="57"/>
      <c r="B36" s="42" t="s">
        <v>196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5" ht="17.25" thickBot="1">
      <c r="A37" s="57"/>
      <c r="B37" s="42" t="s">
        <v>197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ht="17.25" thickBot="1">
      <c r="A38" s="57"/>
      <c r="B38" s="42" t="s">
        <v>198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</row>
    <row r="39" spans="1:15" ht="17.25" thickBot="1">
      <c r="A39" s="57"/>
      <c r="B39" s="42" t="s">
        <v>199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</row>
    <row r="40" spans="1:15" ht="17.25" thickBot="1">
      <c r="A40" s="57"/>
      <c r="B40" s="42" t="s">
        <v>200</v>
      </c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</row>
    <row r="41" spans="1:15" ht="17.25" thickBot="1">
      <c r="A41" s="57"/>
      <c r="B41" s="42" t="s">
        <v>201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</row>
    <row r="42" spans="1:15" ht="17.25" thickBot="1">
      <c r="A42" s="58"/>
      <c r="B42" s="42" t="s">
        <v>202</v>
      </c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</sheetData>
  <mergeCells count="68">
    <mergeCell ref="N30:N42"/>
    <mergeCell ref="O30:O42"/>
    <mergeCell ref="H30:H42"/>
    <mergeCell ref="I30:I42"/>
    <mergeCell ref="J30:J42"/>
    <mergeCell ref="K30:K42"/>
    <mergeCell ref="L30:L42"/>
    <mergeCell ref="M30:M42"/>
    <mergeCell ref="K17:K29"/>
    <mergeCell ref="L17:L29"/>
    <mergeCell ref="M17:M29"/>
    <mergeCell ref="N17:N29"/>
    <mergeCell ref="O17:O29"/>
    <mergeCell ref="C30:C42"/>
    <mergeCell ref="D30:D42"/>
    <mergeCell ref="E30:E42"/>
    <mergeCell ref="F30:F42"/>
    <mergeCell ref="G30:G42"/>
    <mergeCell ref="O8:O16"/>
    <mergeCell ref="A17:A42"/>
    <mergeCell ref="C17:C29"/>
    <mergeCell ref="D17:D29"/>
    <mergeCell ref="E17:E29"/>
    <mergeCell ref="F17:F29"/>
    <mergeCell ref="G17:G29"/>
    <mergeCell ref="H17:H29"/>
    <mergeCell ref="I17:I29"/>
    <mergeCell ref="J17:J29"/>
    <mergeCell ref="I8:I16"/>
    <mergeCell ref="J8:J16"/>
    <mergeCell ref="K8:K16"/>
    <mergeCell ref="L8:L16"/>
    <mergeCell ref="M8:M16"/>
    <mergeCell ref="N8:N16"/>
    <mergeCell ref="C8:C16"/>
    <mergeCell ref="D8:D16"/>
    <mergeCell ref="E8:E16"/>
    <mergeCell ref="F8:F16"/>
    <mergeCell ref="G8:G16"/>
    <mergeCell ref="H8:H16"/>
    <mergeCell ref="J4:J6"/>
    <mergeCell ref="K4:K6"/>
    <mergeCell ref="L4:L6"/>
    <mergeCell ref="M4:M6"/>
    <mergeCell ref="N4:N6"/>
    <mergeCell ref="O4:O6"/>
    <mergeCell ref="N2:N3"/>
    <mergeCell ref="O2:O3"/>
    <mergeCell ref="A4:A16"/>
    <mergeCell ref="C4:C6"/>
    <mergeCell ref="D4:D6"/>
    <mergeCell ref="E4:E6"/>
    <mergeCell ref="F4:F6"/>
    <mergeCell ref="G4:G6"/>
    <mergeCell ref="H4:H6"/>
    <mergeCell ref="I4:I6"/>
    <mergeCell ref="H2:H3"/>
    <mergeCell ref="I2:I3"/>
    <mergeCell ref="J2:J3"/>
    <mergeCell ref="K2:K3"/>
    <mergeCell ref="L2:L3"/>
    <mergeCell ref="M2:M3"/>
    <mergeCell ref="A2:A3"/>
    <mergeCell ref="C2:C3"/>
    <mergeCell ref="D2:D3"/>
    <mergeCell ref="E2:E3"/>
    <mergeCell ref="F2:F3"/>
    <mergeCell ref="G2:G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C18F-F381-425B-B09E-FD204A3FE048}">
  <dimension ref="A1:P25"/>
  <sheetViews>
    <sheetView topLeftCell="A19" workbookViewId="0">
      <selection activeCell="D4" sqref="D4"/>
    </sheetView>
  </sheetViews>
  <sheetFormatPr defaultRowHeight="14.25"/>
  <cols>
    <col min="1" max="1" width="15.75" customWidth="1"/>
    <col min="2" max="2" width="16.625" customWidth="1"/>
    <col min="3" max="3" width="24" customWidth="1"/>
    <col min="4" max="4" width="21.625" customWidth="1"/>
  </cols>
  <sheetData>
    <row r="1" spans="1:16" ht="36.75" thickBot="1">
      <c r="A1" s="1"/>
      <c r="B1" s="2" t="s">
        <v>0</v>
      </c>
      <c r="C1" s="3" t="s">
        <v>1</v>
      </c>
      <c r="D1" s="3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  <row r="2" spans="1:16" ht="63.75" thickBot="1">
      <c r="A2" s="4" t="s">
        <v>14</v>
      </c>
      <c r="B2" s="5" t="s">
        <v>15</v>
      </c>
      <c r="C2" s="5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</row>
    <row r="3" spans="1:16" ht="32.25" thickBot="1">
      <c r="A3" s="7" t="s">
        <v>30</v>
      </c>
      <c r="B3" s="8" t="s">
        <v>31</v>
      </c>
      <c r="C3" s="9"/>
      <c r="D3" s="10"/>
      <c r="E3" s="11">
        <f>SUM(E4:E8)</f>
        <v>0.29500000000000004</v>
      </c>
      <c r="F3" s="11">
        <f t="shared" ref="F3:P3" si="0">SUM(F4:F8)</f>
        <v>0.373</v>
      </c>
      <c r="G3" s="11">
        <f t="shared" si="0"/>
        <v>0.26800000000000002</v>
      </c>
      <c r="H3" s="11">
        <f t="shared" si="0"/>
        <v>0.28000000000000003</v>
      </c>
      <c r="I3" s="11">
        <f t="shared" si="0"/>
        <v>0.28000000000000003</v>
      </c>
      <c r="J3" s="11">
        <f t="shared" si="0"/>
        <v>0.26800000000000002</v>
      </c>
      <c r="K3" s="11">
        <f t="shared" si="0"/>
        <v>0.26800000000000002</v>
      </c>
      <c r="L3" s="11">
        <f t="shared" si="0"/>
        <v>0.31900000000000001</v>
      </c>
      <c r="M3" s="11">
        <f t="shared" si="0"/>
        <v>0.30399999999999999</v>
      </c>
      <c r="N3" s="11">
        <f>SUM(N4:N8)</f>
        <v>0.32200000000000001</v>
      </c>
      <c r="O3" s="11">
        <f t="shared" si="0"/>
        <v>0.32200000000000001</v>
      </c>
      <c r="P3" s="11">
        <f t="shared" si="0"/>
        <v>0.26800000000000002</v>
      </c>
    </row>
    <row r="4" spans="1:16" ht="45.75" thickBot="1">
      <c r="A4" s="12"/>
      <c r="B4" s="13"/>
      <c r="C4" s="8" t="s">
        <v>32</v>
      </c>
      <c r="D4" s="14" t="s">
        <v>33</v>
      </c>
      <c r="E4" s="15">
        <v>0.15</v>
      </c>
      <c r="F4" s="16">
        <v>0.253</v>
      </c>
      <c r="G4" s="16">
        <v>0.17899999999999999</v>
      </c>
      <c r="H4" s="16">
        <v>0.19500000000000001</v>
      </c>
      <c r="I4" s="16">
        <v>0.19500000000000001</v>
      </c>
      <c r="J4" s="16">
        <v>0.17899999999999999</v>
      </c>
      <c r="K4" s="16">
        <v>0.17899999999999999</v>
      </c>
      <c r="L4" s="16">
        <v>0.21099999999999999</v>
      </c>
      <c r="M4" s="16">
        <v>0.21099999999999999</v>
      </c>
      <c r="N4" s="15">
        <v>0.21</v>
      </c>
      <c r="O4" s="15">
        <v>0.2</v>
      </c>
      <c r="P4" s="16">
        <v>0.17899999999999999</v>
      </c>
    </row>
    <row r="5" spans="1:16" ht="30.75" thickBot="1">
      <c r="A5" s="14"/>
      <c r="B5" s="17"/>
      <c r="C5" s="18" t="s">
        <v>34</v>
      </c>
      <c r="D5" s="14" t="s">
        <v>35</v>
      </c>
      <c r="E5" s="16">
        <v>4.4999999999999998E-2</v>
      </c>
      <c r="F5" s="16">
        <v>3.9E-2</v>
      </c>
      <c r="G5" s="16">
        <v>2.8000000000000001E-2</v>
      </c>
      <c r="H5" s="15">
        <v>0.03</v>
      </c>
      <c r="I5" s="15">
        <v>0.03</v>
      </c>
      <c r="J5" s="16">
        <v>2.8000000000000001E-2</v>
      </c>
      <c r="K5" s="16">
        <v>2.8000000000000001E-2</v>
      </c>
      <c r="L5" s="16">
        <v>3.3000000000000002E-2</v>
      </c>
      <c r="M5" s="16">
        <v>3.3000000000000002E-2</v>
      </c>
      <c r="N5" s="16">
        <v>4.4999999999999998E-2</v>
      </c>
      <c r="O5" s="16">
        <v>4.4999999999999998E-2</v>
      </c>
      <c r="P5" s="16">
        <v>2.8000000000000001E-2</v>
      </c>
    </row>
    <row r="6" spans="1:16" ht="86.25" thickBot="1">
      <c r="A6" s="14"/>
      <c r="B6" s="17"/>
      <c r="C6" s="18" t="s">
        <v>36</v>
      </c>
      <c r="D6" s="14" t="s">
        <v>37</v>
      </c>
      <c r="E6" s="15">
        <v>0.02</v>
      </c>
      <c r="F6" s="16">
        <v>1.7000000000000001E-2</v>
      </c>
      <c r="G6" s="16">
        <v>1.2E-2</v>
      </c>
      <c r="H6" s="15">
        <v>0.01</v>
      </c>
      <c r="I6" s="15">
        <v>0.01</v>
      </c>
      <c r="J6" s="16">
        <v>1.2E-2</v>
      </c>
      <c r="K6" s="16">
        <v>1.2E-2</v>
      </c>
      <c r="L6" s="16">
        <v>1.4E-2</v>
      </c>
      <c r="M6" s="15">
        <v>0</v>
      </c>
      <c r="N6" s="15">
        <v>0</v>
      </c>
      <c r="O6" s="15">
        <v>0</v>
      </c>
      <c r="P6" s="16">
        <v>1.2E-2</v>
      </c>
    </row>
    <row r="7" spans="1:16" ht="72" thickBot="1">
      <c r="A7" s="14"/>
      <c r="B7" s="17"/>
      <c r="C7" s="18" t="s">
        <v>38</v>
      </c>
      <c r="D7" s="14" t="s">
        <v>39</v>
      </c>
      <c r="E7" s="16">
        <v>5.5E-2</v>
      </c>
      <c r="F7" s="16">
        <v>4.2999999999999997E-2</v>
      </c>
      <c r="G7" s="16">
        <v>3.3000000000000002E-2</v>
      </c>
      <c r="H7" s="15">
        <v>0.03</v>
      </c>
      <c r="I7" s="15">
        <v>0.03</v>
      </c>
      <c r="J7" s="16">
        <v>3.3000000000000002E-2</v>
      </c>
      <c r="K7" s="16">
        <v>3.3000000000000002E-2</v>
      </c>
      <c r="L7" s="16">
        <v>4.2999999999999997E-2</v>
      </c>
      <c r="M7" s="16">
        <v>4.2000000000000003E-2</v>
      </c>
      <c r="N7" s="16">
        <v>4.2000000000000003E-2</v>
      </c>
      <c r="O7" s="16">
        <v>5.2999999999999999E-2</v>
      </c>
      <c r="P7" s="16">
        <v>3.3000000000000002E-2</v>
      </c>
    </row>
    <row r="8" spans="1:16" ht="45.75" thickBot="1">
      <c r="A8" s="14"/>
      <c r="B8" s="17"/>
      <c r="C8" s="18" t="s">
        <v>40</v>
      </c>
      <c r="D8" s="14" t="s">
        <v>41</v>
      </c>
      <c r="E8" s="16">
        <v>2.5000000000000001E-2</v>
      </c>
      <c r="F8" s="16">
        <v>2.1000000000000001E-2</v>
      </c>
      <c r="G8" s="16">
        <v>1.6E-2</v>
      </c>
      <c r="H8" s="16">
        <v>1.4999999999999999E-2</v>
      </c>
      <c r="I8" s="16">
        <v>1.4999999999999999E-2</v>
      </c>
      <c r="J8" s="16">
        <v>1.6E-2</v>
      </c>
      <c r="K8" s="16">
        <v>1.6E-2</v>
      </c>
      <c r="L8" s="16">
        <v>1.7999999999999999E-2</v>
      </c>
      <c r="M8" s="16">
        <v>1.7999999999999999E-2</v>
      </c>
      <c r="N8" s="16">
        <v>2.5000000000000001E-2</v>
      </c>
      <c r="O8" s="16">
        <v>2.4E-2</v>
      </c>
      <c r="P8" s="16">
        <v>1.6E-2</v>
      </c>
    </row>
    <row r="9" spans="1:16" ht="63.75" thickBot="1">
      <c r="A9" s="19" t="s">
        <v>42</v>
      </c>
      <c r="B9" s="8" t="s">
        <v>43</v>
      </c>
      <c r="C9" s="8"/>
      <c r="D9" s="14"/>
      <c r="E9" s="20">
        <f>SUM(E10:E12)</f>
        <v>0.28999999999999998</v>
      </c>
      <c r="F9" s="20">
        <f t="shared" ref="F9:P9" si="1">SUM(F10:F12)</f>
        <v>0.37199999999999994</v>
      </c>
      <c r="G9" s="20">
        <f t="shared" si="1"/>
        <v>0.26500000000000001</v>
      </c>
      <c r="H9" s="20">
        <f t="shared" si="1"/>
        <v>0.28999999999999998</v>
      </c>
      <c r="I9" s="20">
        <f t="shared" si="1"/>
        <v>0.28999999999999998</v>
      </c>
      <c r="J9" s="20">
        <f t="shared" si="1"/>
        <v>0.26500000000000001</v>
      </c>
      <c r="K9" s="20">
        <f t="shared" si="1"/>
        <v>0.26500000000000001</v>
      </c>
      <c r="L9" s="20">
        <f t="shared" si="1"/>
        <v>0.316</v>
      </c>
      <c r="M9" s="20">
        <f t="shared" si="1"/>
        <v>0.316</v>
      </c>
      <c r="N9" s="20">
        <f>SUM(N10:N12)</f>
        <v>0.29799999999999999</v>
      </c>
      <c r="O9" s="20">
        <f t="shared" si="1"/>
        <v>0.28799999999999998</v>
      </c>
      <c r="P9" s="20">
        <f t="shared" si="1"/>
        <v>0.26500000000000001</v>
      </c>
    </row>
    <row r="10" spans="1:16" ht="60.75" thickBot="1">
      <c r="A10" s="12"/>
      <c r="B10" s="13"/>
      <c r="C10" s="8" t="s">
        <v>44</v>
      </c>
      <c r="D10" s="14" t="s">
        <v>45</v>
      </c>
      <c r="E10" s="15">
        <v>0.18</v>
      </c>
      <c r="F10" s="15">
        <v>0.3</v>
      </c>
      <c r="G10" s="16">
        <v>0.193</v>
      </c>
      <c r="H10" s="15">
        <v>0.21</v>
      </c>
      <c r="I10" s="15">
        <v>0.21</v>
      </c>
      <c r="J10" s="16">
        <v>0.193</v>
      </c>
      <c r="K10" s="16">
        <v>0.193</v>
      </c>
      <c r="L10" s="16">
        <v>0.22800000000000001</v>
      </c>
      <c r="M10" s="16">
        <v>0.22800000000000001</v>
      </c>
      <c r="N10" s="15">
        <v>0.21</v>
      </c>
      <c r="O10" s="15">
        <v>0.2</v>
      </c>
      <c r="P10" s="16">
        <v>0.193</v>
      </c>
    </row>
    <row r="11" spans="1:16" ht="30.75" thickBot="1">
      <c r="A11" s="14"/>
      <c r="B11" s="17"/>
      <c r="C11" s="18" t="s">
        <v>46</v>
      </c>
      <c r="D11" s="14" t="s">
        <v>47</v>
      </c>
      <c r="E11" s="16">
        <v>5.5E-2</v>
      </c>
      <c r="F11" s="16">
        <v>3.5999999999999997E-2</v>
      </c>
      <c r="G11" s="16">
        <v>3.5999999999999997E-2</v>
      </c>
      <c r="H11" s="15">
        <v>0.04</v>
      </c>
      <c r="I11" s="15">
        <v>0.04</v>
      </c>
      <c r="J11" s="16">
        <v>3.5999999999999997E-2</v>
      </c>
      <c r="K11" s="16">
        <v>3.5999999999999997E-2</v>
      </c>
      <c r="L11" s="16">
        <v>4.3999999999999997E-2</v>
      </c>
      <c r="M11" s="16">
        <v>4.3999999999999997E-2</v>
      </c>
      <c r="N11" s="16">
        <v>4.3999999999999997E-2</v>
      </c>
      <c r="O11" s="16">
        <v>4.3999999999999997E-2</v>
      </c>
      <c r="P11" s="16">
        <v>3.5999999999999997E-2</v>
      </c>
    </row>
    <row r="12" spans="1:16" ht="60.75" thickBot="1">
      <c r="A12" s="17"/>
      <c r="B12" s="17"/>
      <c r="C12" s="18" t="s">
        <v>48</v>
      </c>
      <c r="D12" s="17" t="s">
        <v>49</v>
      </c>
      <c r="E12" s="21">
        <v>5.5E-2</v>
      </c>
      <c r="F12" s="16">
        <v>3.5999999999999997E-2</v>
      </c>
      <c r="G12" s="16">
        <v>3.5999999999999997E-2</v>
      </c>
      <c r="H12" s="16">
        <v>0.04</v>
      </c>
      <c r="I12" s="16">
        <v>0.04</v>
      </c>
      <c r="J12" s="16">
        <v>3.5999999999999997E-2</v>
      </c>
      <c r="K12" s="16">
        <v>3.5999999999999997E-2</v>
      </c>
      <c r="L12" s="16">
        <v>4.3999999999999997E-2</v>
      </c>
      <c r="M12" s="16">
        <v>4.3999999999999997E-2</v>
      </c>
      <c r="N12" s="16">
        <v>4.3999999999999997E-2</v>
      </c>
      <c r="O12" s="16">
        <v>4.3999999999999997E-2</v>
      </c>
      <c r="P12" s="16">
        <v>3.5999999999999997E-2</v>
      </c>
    </row>
    <row r="13" spans="1:16" ht="32.25" thickBot="1">
      <c r="A13" s="7" t="s">
        <v>50</v>
      </c>
      <c r="B13" s="8" t="s">
        <v>51</v>
      </c>
      <c r="C13" s="8"/>
      <c r="D13" s="17"/>
      <c r="E13" s="20">
        <f>SUM(E14:E17)</f>
        <v>0.3</v>
      </c>
      <c r="F13" s="20">
        <f t="shared" ref="F13:P13" si="2">SUM(F14:F17)</f>
        <v>0.15</v>
      </c>
      <c r="G13" s="20">
        <f t="shared" si="2"/>
        <v>0.35199999999999998</v>
      </c>
      <c r="H13" s="20">
        <f t="shared" si="2"/>
        <v>0.27499999999999997</v>
      </c>
      <c r="I13" s="20">
        <f t="shared" si="2"/>
        <v>0.27499999999999997</v>
      </c>
      <c r="J13" s="20">
        <f t="shared" si="2"/>
        <v>0.35199999999999998</v>
      </c>
      <c r="K13" s="20">
        <f t="shared" si="2"/>
        <v>0.35199999999999998</v>
      </c>
      <c r="L13" s="20">
        <f t="shared" si="2"/>
        <v>0.25</v>
      </c>
      <c r="M13" s="20">
        <f t="shared" si="2"/>
        <v>0.25</v>
      </c>
      <c r="N13" s="20">
        <f>SUM(N14:N17)</f>
        <v>0.25</v>
      </c>
      <c r="O13" s="20">
        <f t="shared" si="2"/>
        <v>0.27499999999999997</v>
      </c>
      <c r="P13" s="20">
        <f t="shared" si="2"/>
        <v>0.35199999999999998</v>
      </c>
    </row>
    <row r="14" spans="1:16" ht="30.75" thickBot="1">
      <c r="A14" s="22"/>
      <c r="B14" s="13"/>
      <c r="C14" s="8" t="s">
        <v>52</v>
      </c>
      <c r="D14" s="17" t="s">
        <v>53</v>
      </c>
      <c r="E14" s="23">
        <v>0.15</v>
      </c>
      <c r="F14" s="21">
        <v>7.4999999999999997E-2</v>
      </c>
      <c r="G14" s="21">
        <v>0.17499999999999999</v>
      </c>
      <c r="H14" s="21">
        <v>0.13700000000000001</v>
      </c>
      <c r="I14" s="21">
        <v>0.13700000000000001</v>
      </c>
      <c r="J14" s="21">
        <v>0.17499999999999999</v>
      </c>
      <c r="K14" s="21">
        <v>0.17499999999999999</v>
      </c>
      <c r="L14" s="21">
        <v>0.124</v>
      </c>
      <c r="M14" s="23">
        <v>0.13</v>
      </c>
      <c r="N14" s="21">
        <v>0.124</v>
      </c>
      <c r="O14" s="21">
        <v>0.13700000000000001</v>
      </c>
      <c r="P14" s="21">
        <v>0.17499999999999999</v>
      </c>
    </row>
    <row r="15" spans="1:16" ht="45.75" thickBot="1">
      <c r="A15" s="17"/>
      <c r="B15" s="17"/>
      <c r="C15" s="8" t="s">
        <v>54</v>
      </c>
      <c r="D15" s="17" t="s">
        <v>55</v>
      </c>
      <c r="E15" s="23">
        <v>0.05</v>
      </c>
      <c r="F15" s="21">
        <v>2.5000000000000001E-2</v>
      </c>
      <c r="G15" s="21">
        <v>5.8999999999999997E-2</v>
      </c>
      <c r="H15" s="21">
        <v>4.5999999999999999E-2</v>
      </c>
      <c r="I15" s="21">
        <v>4.5999999999999999E-2</v>
      </c>
      <c r="J15" s="21">
        <v>5.8999999999999997E-2</v>
      </c>
      <c r="K15" s="21">
        <v>5.8999999999999997E-2</v>
      </c>
      <c r="L15" s="21">
        <v>4.2000000000000003E-2</v>
      </c>
      <c r="M15" s="23">
        <v>0.04</v>
      </c>
      <c r="N15" s="21">
        <v>4.2000000000000003E-2</v>
      </c>
      <c r="O15" s="21">
        <v>4.5999999999999999E-2</v>
      </c>
      <c r="P15" s="21">
        <v>5.8999999999999997E-2</v>
      </c>
    </row>
    <row r="16" spans="1:16" ht="60.75" thickBot="1">
      <c r="A16" s="17"/>
      <c r="B16" s="17"/>
      <c r="C16" s="8" t="s">
        <v>56</v>
      </c>
      <c r="D16" s="17" t="s">
        <v>57</v>
      </c>
      <c r="E16" s="23">
        <v>0.05</v>
      </c>
      <c r="F16" s="21">
        <v>2.5000000000000001E-2</v>
      </c>
      <c r="G16" s="21">
        <v>5.8999999999999997E-2</v>
      </c>
      <c r="H16" s="21">
        <v>4.5999999999999999E-2</v>
      </c>
      <c r="I16" s="21">
        <v>4.5999999999999999E-2</v>
      </c>
      <c r="J16" s="21">
        <v>5.8999999999999997E-2</v>
      </c>
      <c r="K16" s="21">
        <v>5.8999999999999997E-2</v>
      </c>
      <c r="L16" s="21">
        <v>4.2000000000000003E-2</v>
      </c>
      <c r="M16" s="23">
        <v>0.04</v>
      </c>
      <c r="N16" s="21">
        <v>4.2000000000000003E-2</v>
      </c>
      <c r="O16" s="21">
        <v>4.5999999999999999E-2</v>
      </c>
      <c r="P16" s="21">
        <v>5.8999999999999997E-2</v>
      </c>
    </row>
    <row r="17" spans="1:16" ht="45.75" thickBot="1">
      <c r="A17" s="17"/>
      <c r="B17" s="17"/>
      <c r="C17" s="8" t="s">
        <v>58</v>
      </c>
      <c r="D17" s="17" t="s">
        <v>59</v>
      </c>
      <c r="E17" s="23">
        <v>0.05</v>
      </c>
      <c r="F17" s="21">
        <v>2.5000000000000001E-2</v>
      </c>
      <c r="G17" s="21">
        <v>5.8999999999999997E-2</v>
      </c>
      <c r="H17" s="21">
        <v>4.5999999999999999E-2</v>
      </c>
      <c r="I17" s="21">
        <v>4.5999999999999999E-2</v>
      </c>
      <c r="J17" s="21">
        <v>5.8999999999999997E-2</v>
      </c>
      <c r="K17" s="21">
        <v>5.8999999999999997E-2</v>
      </c>
      <c r="L17" s="21">
        <v>4.2000000000000003E-2</v>
      </c>
      <c r="M17" s="23">
        <v>0.04</v>
      </c>
      <c r="N17" s="21">
        <v>4.2000000000000003E-2</v>
      </c>
      <c r="O17" s="21">
        <v>4.5999999999999999E-2</v>
      </c>
      <c r="P17" s="21">
        <v>5.8999999999999997E-2</v>
      </c>
    </row>
    <row r="18" spans="1:16" ht="16.5" thickBot="1">
      <c r="A18" s="7" t="s">
        <v>60</v>
      </c>
      <c r="B18" s="8" t="s">
        <v>61</v>
      </c>
      <c r="C18" s="8"/>
      <c r="D18" s="17"/>
      <c r="E18" s="20">
        <f>SUM(E19:E20)</f>
        <v>0.04</v>
      </c>
      <c r="F18" s="20">
        <f t="shared" ref="F18:P18" si="3">SUM(F19:F20)</f>
        <v>0.03</v>
      </c>
      <c r="G18" s="20">
        <f t="shared" si="3"/>
        <v>0.04</v>
      </c>
      <c r="H18" s="20">
        <f t="shared" si="3"/>
        <v>0.08</v>
      </c>
      <c r="I18" s="20">
        <f t="shared" si="3"/>
        <v>0.08</v>
      </c>
      <c r="J18" s="20">
        <f t="shared" si="3"/>
        <v>0.04</v>
      </c>
      <c r="K18" s="20">
        <f t="shared" si="3"/>
        <v>0.04</v>
      </c>
      <c r="L18" s="20">
        <f t="shared" si="3"/>
        <v>0.04</v>
      </c>
      <c r="M18" s="20">
        <f t="shared" si="3"/>
        <v>0.04</v>
      </c>
      <c r="N18" s="20">
        <f>SUM(N19:N20)</f>
        <v>0.04</v>
      </c>
      <c r="O18" s="20">
        <f t="shared" si="3"/>
        <v>0.04</v>
      </c>
      <c r="P18" s="20">
        <f t="shared" si="3"/>
        <v>0.04</v>
      </c>
    </row>
    <row r="19" spans="1:16" ht="30.75" thickBot="1">
      <c r="A19" s="22"/>
      <c r="B19" s="13"/>
      <c r="C19" s="18" t="s">
        <v>62</v>
      </c>
      <c r="D19" s="17" t="s">
        <v>63</v>
      </c>
      <c r="E19" s="23">
        <v>0.02</v>
      </c>
      <c r="F19" s="21">
        <v>1.4999999999999999E-2</v>
      </c>
      <c r="G19" s="23">
        <v>0.02</v>
      </c>
      <c r="H19" s="23">
        <v>0.04</v>
      </c>
      <c r="I19" s="23">
        <v>0.04</v>
      </c>
      <c r="J19" s="23">
        <v>0.02</v>
      </c>
      <c r="K19" s="23">
        <v>0.02</v>
      </c>
      <c r="L19" s="23">
        <v>0.02</v>
      </c>
      <c r="M19" s="23">
        <v>0.02</v>
      </c>
      <c r="N19" s="23">
        <v>0.02</v>
      </c>
      <c r="O19" s="23">
        <v>0.02</v>
      </c>
      <c r="P19" s="23">
        <v>0.02</v>
      </c>
    </row>
    <row r="20" spans="1:16" ht="43.5" thickBot="1">
      <c r="A20" s="17"/>
      <c r="B20" s="17"/>
      <c r="C20" s="8" t="s">
        <v>64</v>
      </c>
      <c r="D20" s="17" t="s">
        <v>65</v>
      </c>
      <c r="E20" s="23">
        <v>0.02</v>
      </c>
      <c r="F20" s="21">
        <v>1.4999999999999999E-2</v>
      </c>
      <c r="G20" s="23">
        <v>0.02</v>
      </c>
      <c r="H20" s="23">
        <v>0.04</v>
      </c>
      <c r="I20" s="23">
        <v>0.04</v>
      </c>
      <c r="J20" s="23">
        <v>0.02</v>
      </c>
      <c r="K20" s="23">
        <v>0.02</v>
      </c>
      <c r="L20" s="23">
        <v>0.02</v>
      </c>
      <c r="M20" s="23">
        <v>0.02</v>
      </c>
      <c r="N20" s="23">
        <v>0.02</v>
      </c>
      <c r="O20" s="23">
        <v>0.02</v>
      </c>
      <c r="P20" s="23">
        <v>0.02</v>
      </c>
    </row>
    <row r="21" spans="1:16" ht="48" thickBot="1">
      <c r="A21" s="7" t="s">
        <v>66</v>
      </c>
      <c r="B21" s="8" t="s">
        <v>67</v>
      </c>
      <c r="C21" s="8"/>
      <c r="D21" s="17"/>
      <c r="E21" s="20">
        <f>SUM(E22:E24)</f>
        <v>7.5000000000000011E-2</v>
      </c>
      <c r="F21" s="20">
        <f t="shared" ref="F21:P21" si="4">SUM(F22:F24)</f>
        <v>7.5000000000000011E-2</v>
      </c>
      <c r="G21" s="20">
        <f t="shared" si="4"/>
        <v>7.5000000000000011E-2</v>
      </c>
      <c r="H21" s="20">
        <f t="shared" si="4"/>
        <v>7.5000000000000011E-2</v>
      </c>
      <c r="I21" s="20">
        <f t="shared" si="4"/>
        <v>7.5000000000000011E-2</v>
      </c>
      <c r="J21" s="20">
        <f t="shared" si="4"/>
        <v>7.5000000000000011E-2</v>
      </c>
      <c r="K21" s="20">
        <f t="shared" si="4"/>
        <v>7.5000000000000011E-2</v>
      </c>
      <c r="L21" s="20">
        <f t="shared" si="4"/>
        <v>7.5000000000000011E-2</v>
      </c>
      <c r="M21" s="20">
        <f t="shared" si="4"/>
        <v>0.09</v>
      </c>
      <c r="N21" s="20">
        <f>SUM(N22:N24)</f>
        <v>0.09</v>
      </c>
      <c r="O21" s="20">
        <f t="shared" si="4"/>
        <v>7.5000000000000011E-2</v>
      </c>
      <c r="P21" s="20">
        <f t="shared" si="4"/>
        <v>7.5000000000000011E-2</v>
      </c>
    </row>
    <row r="22" spans="1:16" ht="45.75" thickBot="1">
      <c r="A22" s="22"/>
      <c r="B22" s="13"/>
      <c r="C22" s="18" t="s">
        <v>68</v>
      </c>
      <c r="D22" s="17" t="s">
        <v>69</v>
      </c>
      <c r="E22" s="21">
        <v>2.5000000000000001E-2</v>
      </c>
      <c r="F22" s="21">
        <v>2.5000000000000001E-2</v>
      </c>
      <c r="G22" s="21">
        <v>2.5000000000000001E-2</v>
      </c>
      <c r="H22" s="21">
        <v>2.5000000000000001E-2</v>
      </c>
      <c r="I22" s="21">
        <v>2.5000000000000001E-2</v>
      </c>
      <c r="J22" s="21">
        <v>2.5000000000000001E-2</v>
      </c>
      <c r="K22" s="21">
        <v>2.5000000000000001E-2</v>
      </c>
      <c r="L22" s="21">
        <v>2.5000000000000001E-2</v>
      </c>
      <c r="M22" s="23">
        <v>0.03</v>
      </c>
      <c r="N22" s="23">
        <v>0.03</v>
      </c>
      <c r="O22" s="21">
        <v>2.5000000000000001E-2</v>
      </c>
      <c r="P22" s="21">
        <v>2.5000000000000001E-2</v>
      </c>
    </row>
    <row r="23" spans="1:16" ht="30.75" thickBot="1">
      <c r="A23" s="17"/>
      <c r="B23" s="17"/>
      <c r="C23" s="18" t="s">
        <v>70</v>
      </c>
      <c r="D23" s="17" t="s">
        <v>71</v>
      </c>
      <c r="E23" s="21">
        <v>2.5000000000000001E-2</v>
      </c>
      <c r="F23" s="21">
        <v>2.5000000000000001E-2</v>
      </c>
      <c r="G23" s="21">
        <v>2.5000000000000001E-2</v>
      </c>
      <c r="H23" s="21">
        <v>2.5000000000000001E-2</v>
      </c>
      <c r="I23" s="21">
        <v>2.5000000000000001E-2</v>
      </c>
      <c r="J23" s="21">
        <v>2.5000000000000001E-2</v>
      </c>
      <c r="K23" s="21">
        <v>2.5000000000000001E-2</v>
      </c>
      <c r="L23" s="21">
        <v>2.5000000000000001E-2</v>
      </c>
      <c r="M23" s="23">
        <v>0.03</v>
      </c>
      <c r="N23" s="23">
        <v>0.03</v>
      </c>
      <c r="O23" s="21">
        <v>2.5000000000000001E-2</v>
      </c>
      <c r="P23" s="21">
        <v>2.5000000000000001E-2</v>
      </c>
    </row>
    <row r="24" spans="1:16" ht="60.75" thickBot="1">
      <c r="A24" s="24"/>
      <c r="B24" s="17"/>
      <c r="C24" s="8" t="s">
        <v>72</v>
      </c>
      <c r="D24" s="17" t="s">
        <v>73</v>
      </c>
      <c r="E24" s="21">
        <v>2.5000000000000001E-2</v>
      </c>
      <c r="F24" s="21">
        <v>2.5000000000000001E-2</v>
      </c>
      <c r="G24" s="21">
        <v>2.5000000000000001E-2</v>
      </c>
      <c r="H24" s="21">
        <v>2.5000000000000001E-2</v>
      </c>
      <c r="I24" s="21">
        <v>2.5000000000000001E-2</v>
      </c>
      <c r="J24" s="21">
        <v>2.5000000000000001E-2</v>
      </c>
      <c r="K24" s="21">
        <v>2.5000000000000001E-2</v>
      </c>
      <c r="L24" s="21">
        <v>2.5000000000000001E-2</v>
      </c>
      <c r="M24" s="23">
        <v>0.03</v>
      </c>
      <c r="N24" s="23">
        <v>0.03</v>
      </c>
      <c r="O24" s="21">
        <v>2.5000000000000001E-2</v>
      </c>
      <c r="P24" s="21">
        <v>2.5000000000000001E-2</v>
      </c>
    </row>
    <row r="25" spans="1:16" ht="16.5" thickBot="1">
      <c r="A25" s="25" t="s">
        <v>74</v>
      </c>
      <c r="B25" s="26" t="s">
        <v>75</v>
      </c>
      <c r="C25" s="26" t="s">
        <v>76</v>
      </c>
      <c r="D25" s="27"/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</row>
  </sheetData>
  <phoneticPr fontId="3" type="noConversion"/>
  <conditionalFormatting sqref="F5:P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{BB0ECF37-B7A5-4E3E-9059-9F42E6124CE0}</x14:id>
        </ext>
      </extLst>
    </cfRule>
  </conditionalFormatting>
  <conditionalFormatting sqref="F6:P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{4BE974EE-F851-4894-9A0C-B7B1B05AD56F}</x14:id>
        </ext>
      </extLst>
    </cfRule>
  </conditionalFormatting>
  <conditionalFormatting sqref="F7:P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{9AB3E458-1DBE-4E10-9FFF-562EB4AF4E9B}</x14:id>
        </ext>
      </extLst>
    </cfRule>
  </conditionalFormatting>
  <conditionalFormatting sqref="F8:P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{CEC113C5-9924-4E22-9E34-56EA45D540D8}</x14:id>
        </ext>
      </extLst>
    </cfRule>
  </conditionalFormatting>
  <conditionalFormatting sqref="F11:P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{F5ABDF49-1872-4B94-A27E-5F18D7A29267}</x14:id>
        </ext>
      </extLst>
    </cfRule>
  </conditionalFormatting>
  <conditionalFormatting sqref="F14:P1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{6651878F-3596-46ED-95FF-8C39B1E378B0}</x14:id>
        </ext>
      </extLst>
    </cfRule>
  </conditionalFormatting>
  <conditionalFormatting sqref="F15:P1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{5CEED108-D303-4A73-92AE-4ED9F26DF868}</x14:id>
        </ext>
      </extLst>
    </cfRule>
  </conditionalFormatting>
  <conditionalFormatting sqref="F16:P1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{5EA1B686-6EF7-481A-912B-2A09C04BDFEC}</x14:id>
        </ext>
      </extLst>
    </cfRule>
  </conditionalFormatting>
  <conditionalFormatting sqref="F17: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{5FEDE28B-E1B9-497D-AE6A-F6B116A4CC58}</x14:id>
        </ext>
      </extLst>
    </cfRule>
  </conditionalFormatting>
  <conditionalFormatting sqref="F19:P1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{5B836BB9-E565-4B4C-98BA-38BF8FDD8A0D}</x14:id>
        </ext>
      </extLst>
    </cfRule>
  </conditionalFormatting>
  <conditionalFormatting sqref="F20:P2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{3F804C5F-5314-495F-AE42-AB8C64BEBCD1}</x14:id>
        </ext>
      </extLst>
    </cfRule>
  </conditionalFormatting>
  <conditionalFormatting sqref="F22:P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{50FDF07C-8740-482E-A5C2-F64491CFEA06}</x14:id>
        </ext>
      </extLst>
    </cfRule>
  </conditionalFormatting>
  <conditionalFormatting sqref="F23:P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{65E1B976-E5C9-4C53-B014-33A0A8AF3EC3}</x14:id>
        </ext>
      </extLst>
    </cfRule>
  </conditionalFormatting>
  <conditionalFormatting sqref="F24:P24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{8358389B-798A-45BA-AD3B-8914E054826E}</x14:id>
        </ext>
      </extLst>
    </cfRule>
  </conditionalFormatting>
  <conditionalFormatting sqref="F12:P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{EA2AF5AF-79D0-4237-A8BA-AE02910F39A2}</x14:id>
        </ext>
      </extLst>
    </cfRule>
  </conditionalFormatting>
  <conditionalFormatting sqref="E3:P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{D47035E7-D143-4143-B217-517CE55B5C5A}</x14:id>
        </ext>
      </extLst>
    </cfRule>
  </conditionalFormatting>
  <conditionalFormatting sqref="E9:P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{991D5ED2-DEF9-45A2-A99B-C568E82D7945}</x14:id>
        </ext>
      </extLst>
    </cfRule>
  </conditionalFormatting>
  <conditionalFormatting sqref="E13:P1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{9F875995-1DEF-4710-8739-6E3FA46EEF5F}</x14:id>
        </ext>
      </extLst>
    </cfRule>
  </conditionalFormatting>
  <conditionalFormatting sqref="E18:P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{9D43A85B-8321-4C81-AAF0-54FC65FC1A5C}</x14:id>
        </ext>
      </extLst>
    </cfRule>
  </conditionalFormatting>
  <conditionalFormatting sqref="E21: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{BC466F27-29DE-4982-978B-EF9197C5E176}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0ECF37-B7A5-4E3E-9059-9F42E6124C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F5:P5</xm:sqref>
        </x14:conditionalFormatting>
        <x14:conditionalFormatting xmlns:xm="http://schemas.microsoft.com/office/excel/2006/main">
          <x14:cfRule type="dataBar" id="{4BE974EE-F851-4894-9A0C-B7B1B05AD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F6:P6</xm:sqref>
        </x14:conditionalFormatting>
        <x14:conditionalFormatting xmlns:xm="http://schemas.microsoft.com/office/excel/2006/main">
          <x14:cfRule type="dataBar" id="{9AB3E458-1DBE-4E10-9FFF-562EB4AF4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F7:P7</xm:sqref>
        </x14:conditionalFormatting>
        <x14:conditionalFormatting xmlns:xm="http://schemas.microsoft.com/office/excel/2006/main">
          <x14:cfRule type="dataBar" id="{CEC113C5-9924-4E22-9E34-56EA45D54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F8:P8</xm:sqref>
        </x14:conditionalFormatting>
        <x14:conditionalFormatting xmlns:xm="http://schemas.microsoft.com/office/excel/2006/main">
          <x14:cfRule type="dataBar" id="{F5ABDF49-1872-4B94-A27E-5F18D7A292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F11:P11</xm:sqref>
        </x14:conditionalFormatting>
        <x14:conditionalFormatting xmlns:xm="http://schemas.microsoft.com/office/excel/2006/main">
          <x14:cfRule type="dataBar" id="{6651878F-3596-46ED-95FF-8C39B1E37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F14:P14</xm:sqref>
        </x14:conditionalFormatting>
        <x14:conditionalFormatting xmlns:xm="http://schemas.microsoft.com/office/excel/2006/main">
          <x14:cfRule type="dataBar" id="{5CEED108-D303-4A73-92AE-4ED9F26DF8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F15:P15</xm:sqref>
        </x14:conditionalFormatting>
        <x14:conditionalFormatting xmlns:xm="http://schemas.microsoft.com/office/excel/2006/main">
          <x14:cfRule type="dataBar" id="{5EA1B686-6EF7-481A-912B-2A09C04BDF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F16:P16</xm:sqref>
        </x14:conditionalFormatting>
        <x14:conditionalFormatting xmlns:xm="http://schemas.microsoft.com/office/excel/2006/main">
          <x14:cfRule type="dataBar" id="{5FEDE28B-E1B9-497D-AE6A-F6B116A4C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F17:P17</xm:sqref>
        </x14:conditionalFormatting>
        <x14:conditionalFormatting xmlns:xm="http://schemas.microsoft.com/office/excel/2006/main">
          <x14:cfRule type="dataBar" id="{5B836BB9-E565-4B4C-98BA-38BF8FDD8A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F19:P19</xm:sqref>
        </x14:conditionalFormatting>
        <x14:conditionalFormatting xmlns:xm="http://schemas.microsoft.com/office/excel/2006/main">
          <x14:cfRule type="dataBar" id="{3F804C5F-5314-495F-AE42-AB8C64BEB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F20:P20</xm:sqref>
        </x14:conditionalFormatting>
        <x14:conditionalFormatting xmlns:xm="http://schemas.microsoft.com/office/excel/2006/main">
          <x14:cfRule type="dataBar" id="{50FDF07C-8740-482E-A5C2-F64491CFE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F22:P22</xm:sqref>
        </x14:conditionalFormatting>
        <x14:conditionalFormatting xmlns:xm="http://schemas.microsoft.com/office/excel/2006/main">
          <x14:cfRule type="dataBar" id="{65E1B976-E5C9-4C53-B014-33A0A8AF3E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F23:P23</xm:sqref>
        </x14:conditionalFormatting>
        <x14:conditionalFormatting xmlns:xm="http://schemas.microsoft.com/office/excel/2006/main">
          <x14:cfRule type="dataBar" id="{8358389B-798A-45BA-AD3B-8914E0548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F24:P24</xm:sqref>
        </x14:conditionalFormatting>
        <x14:conditionalFormatting xmlns:xm="http://schemas.microsoft.com/office/excel/2006/main">
          <x14:cfRule type="dataBar" id="{EA2AF5AF-79D0-4237-A8BA-AE02910F3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F12:P12</xm:sqref>
        </x14:conditionalFormatting>
        <x14:conditionalFormatting xmlns:xm="http://schemas.microsoft.com/office/excel/2006/main">
          <x14:cfRule type="dataBar" id="{D47035E7-D143-4143-B217-517CE55B5C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E3:P3</xm:sqref>
        </x14:conditionalFormatting>
        <x14:conditionalFormatting xmlns:xm="http://schemas.microsoft.com/office/excel/2006/main">
          <x14:cfRule type="dataBar" id="{991D5ED2-DEF9-45A2-A99B-C568E82D7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E9:P9</xm:sqref>
        </x14:conditionalFormatting>
        <x14:conditionalFormatting xmlns:xm="http://schemas.microsoft.com/office/excel/2006/main">
          <x14:cfRule type="dataBar" id="{9F875995-1DEF-4710-8739-6E3FA46EE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E13:P13</xm:sqref>
        </x14:conditionalFormatting>
        <x14:conditionalFormatting xmlns:xm="http://schemas.microsoft.com/office/excel/2006/main">
          <x14:cfRule type="dataBar" id="{9D43A85B-8321-4C81-AAF0-54FC65FC1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E18:P18</xm:sqref>
        </x14:conditionalFormatting>
        <x14:conditionalFormatting xmlns:xm="http://schemas.microsoft.com/office/excel/2006/main">
          <x14:cfRule type="dataBar" id="{BC466F27-29DE-4982-978B-EF9197C5E1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E21:P21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9D192-86F6-429C-B7D9-81E81FB14416}">
  <dimension ref="A1:K62"/>
  <sheetViews>
    <sheetView tabSelected="1" workbookViewId="0">
      <selection activeCell="K2" sqref="K2"/>
    </sheetView>
  </sheetViews>
  <sheetFormatPr defaultRowHeight="14.25"/>
  <cols>
    <col min="1" max="1" width="15.875" customWidth="1"/>
    <col min="2" max="2" width="26.25" customWidth="1"/>
    <col min="3" max="3" width="29.25" customWidth="1"/>
    <col min="4" max="4" width="18.5" customWidth="1"/>
    <col min="11" max="11" width="11" customWidth="1"/>
  </cols>
  <sheetData>
    <row r="1" spans="1:11" ht="15.75">
      <c r="A1" s="59" t="s">
        <v>203</v>
      </c>
      <c r="B1" s="60"/>
      <c r="C1" s="61" t="s">
        <v>204</v>
      </c>
      <c r="D1" s="62"/>
      <c r="E1" s="62"/>
      <c r="F1" s="62"/>
      <c r="G1" s="62"/>
      <c r="H1" s="62"/>
      <c r="I1" s="62"/>
      <c r="J1" s="62"/>
      <c r="K1" s="62" t="s">
        <v>205</v>
      </c>
    </row>
    <row r="2" spans="1:11" ht="16.5">
      <c r="A2" s="63" t="s">
        <v>206</v>
      </c>
      <c r="B2" s="63" t="s">
        <v>207</v>
      </c>
      <c r="C2" s="64" t="s">
        <v>208</v>
      </c>
      <c r="D2" s="63" t="s">
        <v>209</v>
      </c>
      <c r="E2" s="63" t="s">
        <v>210</v>
      </c>
      <c r="F2" s="63" t="s">
        <v>211</v>
      </c>
      <c r="G2" s="63" t="s">
        <v>212</v>
      </c>
      <c r="H2" s="65" t="s">
        <v>213</v>
      </c>
      <c r="I2" s="65" t="s">
        <v>214</v>
      </c>
      <c r="J2" s="63" t="s">
        <v>215</v>
      </c>
      <c r="K2" s="63" t="s">
        <v>216</v>
      </c>
    </row>
    <row r="3" spans="1:11">
      <c r="A3" s="66" t="s">
        <v>3</v>
      </c>
      <c r="B3" s="67" t="s">
        <v>217</v>
      </c>
      <c r="C3" s="68" t="s">
        <v>217</v>
      </c>
      <c r="D3" s="69" t="s">
        <v>218</v>
      </c>
      <c r="E3" s="70">
        <v>0.6</v>
      </c>
      <c r="F3" s="70">
        <v>0.2</v>
      </c>
      <c r="G3" s="70">
        <v>7.4999999999999997E-2</v>
      </c>
      <c r="H3" s="70">
        <v>7.4999999999999997E-2</v>
      </c>
      <c r="I3" s="70">
        <v>0.05</v>
      </c>
      <c r="J3" s="71">
        <f t="shared" ref="J3:J12" si="0">SUM(E3:I3)</f>
        <v>1</v>
      </c>
      <c r="K3" s="90"/>
    </row>
    <row r="4" spans="1:11">
      <c r="A4" s="66"/>
      <c r="B4" s="67" t="s">
        <v>219</v>
      </c>
      <c r="C4" s="67" t="s">
        <v>219</v>
      </c>
      <c r="D4" s="72" t="s">
        <v>220</v>
      </c>
      <c r="E4" s="73">
        <v>0.7</v>
      </c>
      <c r="F4" s="73">
        <v>0.1</v>
      </c>
      <c r="G4" s="73">
        <v>0.1</v>
      </c>
      <c r="H4" s="73">
        <v>0.1</v>
      </c>
      <c r="I4" s="74"/>
      <c r="J4" s="73">
        <f t="shared" si="0"/>
        <v>0.99999999999999989</v>
      </c>
      <c r="K4" s="91"/>
    </row>
    <row r="5" spans="1:11" ht="27">
      <c r="A5" s="66"/>
      <c r="B5" s="67" t="s">
        <v>221</v>
      </c>
      <c r="C5" s="67" t="s">
        <v>222</v>
      </c>
      <c r="D5" s="72" t="s">
        <v>223</v>
      </c>
      <c r="E5" s="73">
        <v>0.7</v>
      </c>
      <c r="F5" s="73">
        <v>0.1</v>
      </c>
      <c r="G5" s="73">
        <v>0.1</v>
      </c>
      <c r="H5" s="73">
        <v>0.1</v>
      </c>
      <c r="I5" s="74"/>
      <c r="J5" s="73">
        <f t="shared" si="0"/>
        <v>0.99999999999999989</v>
      </c>
      <c r="K5" s="92" t="s">
        <v>224</v>
      </c>
    </row>
    <row r="6" spans="1:11">
      <c r="A6" s="66"/>
      <c r="B6" s="67" t="s">
        <v>225</v>
      </c>
      <c r="C6" s="67" t="s">
        <v>225</v>
      </c>
      <c r="D6" s="72" t="s">
        <v>226</v>
      </c>
      <c r="E6" s="73">
        <v>0.9</v>
      </c>
      <c r="F6" s="73">
        <v>0.1</v>
      </c>
      <c r="G6" s="73">
        <v>0</v>
      </c>
      <c r="H6" s="73">
        <v>0</v>
      </c>
      <c r="I6" s="74"/>
      <c r="J6" s="73">
        <f t="shared" si="0"/>
        <v>1</v>
      </c>
      <c r="K6" s="92" t="s">
        <v>224</v>
      </c>
    </row>
    <row r="7" spans="1:11">
      <c r="A7" s="66"/>
      <c r="B7" s="67" t="s">
        <v>227</v>
      </c>
      <c r="C7" s="67" t="s">
        <v>228</v>
      </c>
      <c r="D7" s="72" t="s">
        <v>229</v>
      </c>
      <c r="E7" s="73">
        <v>0.9</v>
      </c>
      <c r="F7" s="73">
        <v>0.1</v>
      </c>
      <c r="G7" s="73">
        <v>0</v>
      </c>
      <c r="H7" s="73">
        <v>0</v>
      </c>
      <c r="I7" s="74"/>
      <c r="J7" s="73">
        <f t="shared" si="0"/>
        <v>1</v>
      </c>
      <c r="K7" s="91"/>
    </row>
    <row r="8" spans="1:11">
      <c r="A8" s="66"/>
      <c r="B8" s="67" t="s">
        <v>230</v>
      </c>
      <c r="C8" s="67" t="s">
        <v>231</v>
      </c>
      <c r="D8" s="72" t="s">
        <v>232</v>
      </c>
      <c r="E8" s="73">
        <v>0.8</v>
      </c>
      <c r="F8" s="73">
        <v>0.1</v>
      </c>
      <c r="G8" s="73">
        <v>0.1</v>
      </c>
      <c r="H8" s="73">
        <v>0</v>
      </c>
      <c r="I8" s="74"/>
      <c r="J8" s="73">
        <f t="shared" si="0"/>
        <v>1</v>
      </c>
      <c r="K8" s="91"/>
    </row>
    <row r="9" spans="1:11">
      <c r="A9" s="66"/>
      <c r="B9" s="67" t="s">
        <v>233</v>
      </c>
      <c r="C9" s="67" t="s">
        <v>233</v>
      </c>
      <c r="D9" s="72" t="s">
        <v>234</v>
      </c>
      <c r="E9" s="73">
        <v>0.6</v>
      </c>
      <c r="F9" s="73">
        <v>0.1</v>
      </c>
      <c r="G9" s="73">
        <v>0.15</v>
      </c>
      <c r="H9" s="73">
        <v>0.15</v>
      </c>
      <c r="I9" s="74"/>
      <c r="J9" s="73">
        <f t="shared" si="0"/>
        <v>1</v>
      </c>
      <c r="K9" s="91"/>
    </row>
    <row r="10" spans="1:11">
      <c r="A10" s="66"/>
      <c r="B10" s="67" t="s">
        <v>235</v>
      </c>
      <c r="C10" s="75" t="s">
        <v>236</v>
      </c>
      <c r="D10" s="76" t="s">
        <v>237</v>
      </c>
      <c r="E10" s="77">
        <v>0.9</v>
      </c>
      <c r="F10" s="77">
        <v>0.1</v>
      </c>
      <c r="G10" s="77">
        <v>0</v>
      </c>
      <c r="H10" s="77">
        <v>0</v>
      </c>
      <c r="I10" s="77"/>
      <c r="J10" s="74">
        <f t="shared" si="0"/>
        <v>1</v>
      </c>
      <c r="K10" s="92" t="s">
        <v>224</v>
      </c>
    </row>
    <row r="11" spans="1:11">
      <c r="A11" s="66"/>
      <c r="B11" s="67" t="s">
        <v>238</v>
      </c>
      <c r="C11" s="67" t="s">
        <v>239</v>
      </c>
      <c r="D11" s="72" t="s">
        <v>240</v>
      </c>
      <c r="E11" s="73">
        <v>0.7</v>
      </c>
      <c r="F11" s="73">
        <v>0.3</v>
      </c>
      <c r="G11" s="73">
        <v>0</v>
      </c>
      <c r="H11" s="73">
        <v>0</v>
      </c>
      <c r="I11" s="74"/>
      <c r="J11" s="73">
        <f t="shared" si="0"/>
        <v>1</v>
      </c>
      <c r="K11" s="92"/>
    </row>
    <row r="12" spans="1:11">
      <c r="A12" s="66"/>
      <c r="B12" s="67" t="s">
        <v>241</v>
      </c>
      <c r="C12" s="67" t="s">
        <v>241</v>
      </c>
      <c r="D12" s="72" t="s">
        <v>242</v>
      </c>
      <c r="E12" s="73">
        <v>0.8</v>
      </c>
      <c r="F12" s="73">
        <v>0.1</v>
      </c>
      <c r="G12" s="73">
        <v>0.05</v>
      </c>
      <c r="H12" s="73">
        <v>0.05</v>
      </c>
      <c r="I12" s="74"/>
      <c r="J12" s="73">
        <f t="shared" si="0"/>
        <v>1</v>
      </c>
      <c r="K12" s="91"/>
    </row>
    <row r="13" spans="1:11">
      <c r="A13" s="66"/>
      <c r="B13" s="67" t="s">
        <v>243</v>
      </c>
      <c r="C13" s="75" t="s">
        <v>244</v>
      </c>
      <c r="D13" s="76" t="s">
        <v>245</v>
      </c>
      <c r="E13" s="73">
        <v>0.8</v>
      </c>
      <c r="F13" s="73">
        <v>0.2</v>
      </c>
      <c r="G13" s="73"/>
      <c r="H13" s="73"/>
      <c r="I13" s="74"/>
      <c r="J13" s="73">
        <v>1</v>
      </c>
      <c r="K13" s="91"/>
    </row>
    <row r="14" spans="1:11">
      <c r="A14" s="66"/>
      <c r="B14" s="67" t="s">
        <v>246</v>
      </c>
      <c r="C14" s="67" t="s">
        <v>246</v>
      </c>
      <c r="D14" s="72" t="s">
        <v>247</v>
      </c>
      <c r="E14" s="73">
        <v>0.8</v>
      </c>
      <c r="F14" s="73">
        <v>0.2</v>
      </c>
      <c r="G14" s="73">
        <v>0</v>
      </c>
      <c r="H14" s="73">
        <v>0</v>
      </c>
      <c r="I14" s="74"/>
      <c r="J14" s="73">
        <f t="shared" ref="J14:J62" si="1">SUM(E14:I14)</f>
        <v>1</v>
      </c>
      <c r="K14" s="91"/>
    </row>
    <row r="15" spans="1:11">
      <c r="A15" s="66"/>
      <c r="B15" s="67" t="s">
        <v>248</v>
      </c>
      <c r="C15" s="67" t="s">
        <v>248</v>
      </c>
      <c r="D15" s="72" t="s">
        <v>249</v>
      </c>
      <c r="E15" s="73">
        <v>0.75</v>
      </c>
      <c r="F15" s="73">
        <v>0.05</v>
      </c>
      <c r="G15" s="73">
        <v>0.1</v>
      </c>
      <c r="H15" s="73">
        <v>0.1</v>
      </c>
      <c r="I15" s="74"/>
      <c r="J15" s="73">
        <f t="shared" si="1"/>
        <v>1</v>
      </c>
      <c r="K15" s="91"/>
    </row>
    <row r="16" spans="1:11" ht="27">
      <c r="A16" s="66"/>
      <c r="B16" s="67" t="s">
        <v>250</v>
      </c>
      <c r="C16" s="67" t="s">
        <v>251</v>
      </c>
      <c r="D16" s="72" t="s">
        <v>252</v>
      </c>
      <c r="E16" s="73">
        <v>0.7</v>
      </c>
      <c r="F16" s="73">
        <v>0.1</v>
      </c>
      <c r="G16" s="73">
        <v>0.1</v>
      </c>
      <c r="H16" s="73">
        <v>0.1</v>
      </c>
      <c r="I16" s="74"/>
      <c r="J16" s="73">
        <f t="shared" si="1"/>
        <v>0.99999999999999989</v>
      </c>
      <c r="K16" s="91"/>
    </row>
    <row r="17" spans="1:11">
      <c r="A17" s="66" t="s">
        <v>253</v>
      </c>
      <c r="B17" s="67" t="s">
        <v>254</v>
      </c>
      <c r="C17" s="68" t="s">
        <v>255</v>
      </c>
      <c r="D17" s="78" t="s">
        <v>256</v>
      </c>
      <c r="E17" s="70">
        <v>0.4</v>
      </c>
      <c r="F17" s="70">
        <v>0.3</v>
      </c>
      <c r="G17" s="70">
        <v>0.1</v>
      </c>
      <c r="H17" s="70">
        <v>0.1</v>
      </c>
      <c r="I17" s="70">
        <v>0.1</v>
      </c>
      <c r="J17" s="70">
        <f t="shared" si="1"/>
        <v>0.99999999999999989</v>
      </c>
      <c r="K17" s="77"/>
    </row>
    <row r="18" spans="1:11" ht="27">
      <c r="A18" s="66"/>
      <c r="B18" s="67" t="s">
        <v>257</v>
      </c>
      <c r="C18" s="67" t="s">
        <v>22</v>
      </c>
      <c r="D18" s="79" t="s">
        <v>258</v>
      </c>
      <c r="E18" s="80">
        <v>0.4</v>
      </c>
      <c r="F18" s="80">
        <v>0.3</v>
      </c>
      <c r="G18" s="77">
        <v>0.125</v>
      </c>
      <c r="H18" s="77">
        <v>0.125</v>
      </c>
      <c r="I18" s="77">
        <v>0.05</v>
      </c>
      <c r="J18" s="73">
        <f t="shared" si="1"/>
        <v>1</v>
      </c>
      <c r="K18" s="92" t="s">
        <v>224</v>
      </c>
    </row>
    <row r="19" spans="1:11" ht="27">
      <c r="A19" s="66"/>
      <c r="B19" s="67" t="s">
        <v>259</v>
      </c>
      <c r="C19" s="75" t="s">
        <v>260</v>
      </c>
      <c r="D19" s="76" t="s">
        <v>261</v>
      </c>
      <c r="E19" s="74">
        <v>0.4</v>
      </c>
      <c r="F19" s="74">
        <v>0.3</v>
      </c>
      <c r="G19" s="77">
        <v>0.15</v>
      </c>
      <c r="H19" s="77">
        <v>0.15</v>
      </c>
      <c r="I19" s="77">
        <v>0</v>
      </c>
      <c r="J19" s="74">
        <f t="shared" si="1"/>
        <v>1</v>
      </c>
      <c r="K19" s="91" t="s">
        <v>224</v>
      </c>
    </row>
    <row r="20" spans="1:11">
      <c r="A20" s="66"/>
      <c r="B20" s="67" t="s">
        <v>262</v>
      </c>
      <c r="C20" s="67" t="s">
        <v>263</v>
      </c>
      <c r="D20" s="79" t="s">
        <v>102</v>
      </c>
      <c r="E20" s="80">
        <v>0.4</v>
      </c>
      <c r="F20" s="80">
        <v>0.3</v>
      </c>
      <c r="G20" s="74">
        <v>0.125</v>
      </c>
      <c r="H20" s="74">
        <v>0.125</v>
      </c>
      <c r="I20" s="81">
        <v>0.05</v>
      </c>
      <c r="J20" s="73">
        <f>SUM(E20:I20)</f>
        <v>1</v>
      </c>
      <c r="K20" s="92" t="s">
        <v>224</v>
      </c>
    </row>
    <row r="21" spans="1:11" ht="27">
      <c r="A21" s="66"/>
      <c r="B21" s="67" t="s">
        <v>264</v>
      </c>
      <c r="C21" s="67" t="s">
        <v>265</v>
      </c>
      <c r="D21" s="79" t="s">
        <v>101</v>
      </c>
      <c r="E21" s="80">
        <v>0.4</v>
      </c>
      <c r="F21" s="80">
        <v>0.3</v>
      </c>
      <c r="G21" s="74">
        <v>0.15</v>
      </c>
      <c r="H21" s="74">
        <v>0.15</v>
      </c>
      <c r="I21" s="74"/>
      <c r="J21" s="73">
        <f>SUM(E21:I21)</f>
        <v>1</v>
      </c>
      <c r="K21" s="92" t="s">
        <v>224</v>
      </c>
    </row>
    <row r="22" spans="1:11" ht="27">
      <c r="A22" s="66"/>
      <c r="B22" s="67" t="s">
        <v>266</v>
      </c>
      <c r="C22" s="67" t="s">
        <v>267</v>
      </c>
      <c r="D22" s="79" t="s">
        <v>268</v>
      </c>
      <c r="E22" s="80">
        <v>0.4</v>
      </c>
      <c r="F22" s="80">
        <v>0.3</v>
      </c>
      <c r="G22" s="82">
        <v>0.125</v>
      </c>
      <c r="H22" s="82">
        <v>0.125</v>
      </c>
      <c r="I22" s="82">
        <v>0.05</v>
      </c>
      <c r="J22" s="73">
        <f t="shared" si="1"/>
        <v>1</v>
      </c>
      <c r="K22" s="92" t="s">
        <v>224</v>
      </c>
    </row>
    <row r="23" spans="1:11" ht="40.5">
      <c r="A23" s="66"/>
      <c r="B23" s="67" t="s">
        <v>269</v>
      </c>
      <c r="C23" s="67" t="s">
        <v>270</v>
      </c>
      <c r="D23" s="79" t="s">
        <v>94</v>
      </c>
      <c r="E23" s="80">
        <v>0.4</v>
      </c>
      <c r="F23" s="80">
        <v>0.3</v>
      </c>
      <c r="G23" s="77">
        <v>0.125</v>
      </c>
      <c r="H23" s="77">
        <v>0.125</v>
      </c>
      <c r="I23" s="77">
        <v>0.05</v>
      </c>
      <c r="J23" s="73">
        <f t="shared" si="1"/>
        <v>1</v>
      </c>
      <c r="K23" s="92" t="s">
        <v>224</v>
      </c>
    </row>
    <row r="24" spans="1:11" ht="27">
      <c r="A24" s="66"/>
      <c r="B24" s="67" t="s">
        <v>271</v>
      </c>
      <c r="C24" s="67" t="s">
        <v>272</v>
      </c>
      <c r="D24" s="79" t="s">
        <v>273</v>
      </c>
      <c r="E24" s="80">
        <v>0.4</v>
      </c>
      <c r="F24" s="80">
        <v>0.3</v>
      </c>
      <c r="G24" s="80">
        <v>0.15</v>
      </c>
      <c r="H24" s="80">
        <v>0.15</v>
      </c>
      <c r="I24" s="74"/>
      <c r="J24" s="73">
        <f t="shared" si="1"/>
        <v>1</v>
      </c>
      <c r="K24" s="91" t="s">
        <v>224</v>
      </c>
    </row>
    <row r="25" spans="1:11">
      <c r="A25" s="66"/>
      <c r="B25" s="67" t="s">
        <v>274</v>
      </c>
      <c r="C25" s="67" t="s">
        <v>275</v>
      </c>
      <c r="D25" s="79" t="s">
        <v>276</v>
      </c>
      <c r="E25" s="80">
        <v>0.4</v>
      </c>
      <c r="F25" s="80">
        <v>0.3</v>
      </c>
      <c r="G25" s="80">
        <v>0.15</v>
      </c>
      <c r="H25" s="80">
        <v>0.15</v>
      </c>
      <c r="I25" s="74"/>
      <c r="J25" s="73">
        <f t="shared" si="1"/>
        <v>1</v>
      </c>
      <c r="K25" s="93"/>
    </row>
    <row r="26" spans="1:11">
      <c r="A26" s="83" t="s">
        <v>277</v>
      </c>
      <c r="B26" s="67" t="s">
        <v>278</v>
      </c>
      <c r="C26" s="68" t="s">
        <v>279</v>
      </c>
      <c r="D26" s="70" t="s">
        <v>280</v>
      </c>
      <c r="E26" s="70">
        <v>0.4</v>
      </c>
      <c r="F26" s="70">
        <v>0.1</v>
      </c>
      <c r="G26" s="70">
        <v>0.2</v>
      </c>
      <c r="H26" s="70">
        <v>0.2</v>
      </c>
      <c r="I26" s="70">
        <v>0.1</v>
      </c>
      <c r="J26" s="70">
        <f t="shared" si="1"/>
        <v>0.99999999999999989</v>
      </c>
      <c r="K26" s="70"/>
    </row>
    <row r="27" spans="1:11">
      <c r="A27" s="83"/>
      <c r="B27" s="67" t="s">
        <v>281</v>
      </c>
      <c r="C27" s="67" t="s">
        <v>282</v>
      </c>
      <c r="D27" s="72" t="s">
        <v>283</v>
      </c>
      <c r="E27" s="73">
        <v>0.5</v>
      </c>
      <c r="F27" s="73">
        <v>0.1</v>
      </c>
      <c r="G27" s="74">
        <v>0.15</v>
      </c>
      <c r="H27" s="74">
        <v>0.15</v>
      </c>
      <c r="I27" s="74">
        <v>0.1</v>
      </c>
      <c r="J27" s="73">
        <f t="shared" si="1"/>
        <v>1</v>
      </c>
      <c r="K27" s="92" t="s">
        <v>224</v>
      </c>
    </row>
    <row r="28" spans="1:11">
      <c r="A28" s="83"/>
      <c r="B28" s="67" t="s">
        <v>284</v>
      </c>
      <c r="C28" s="67" t="s">
        <v>285</v>
      </c>
      <c r="D28" s="72" t="s">
        <v>286</v>
      </c>
      <c r="E28" s="73">
        <v>0.4</v>
      </c>
      <c r="F28" s="73">
        <v>0.1</v>
      </c>
      <c r="G28" s="74">
        <v>0.25</v>
      </c>
      <c r="H28" s="74">
        <v>0.25</v>
      </c>
      <c r="I28" s="74"/>
      <c r="J28" s="73">
        <f t="shared" si="1"/>
        <v>1</v>
      </c>
      <c r="K28" s="92" t="s">
        <v>224</v>
      </c>
    </row>
    <row r="29" spans="1:11">
      <c r="A29" s="83"/>
      <c r="B29" s="67" t="s">
        <v>287</v>
      </c>
      <c r="C29" s="67" t="s">
        <v>288</v>
      </c>
      <c r="D29" s="72" t="s">
        <v>289</v>
      </c>
      <c r="E29" s="73">
        <v>0.4</v>
      </c>
      <c r="F29" s="73">
        <v>0.1</v>
      </c>
      <c r="G29" s="74">
        <v>0.2</v>
      </c>
      <c r="H29" s="74">
        <v>0.2</v>
      </c>
      <c r="I29" s="74">
        <v>0.1</v>
      </c>
      <c r="J29" s="73">
        <f t="shared" si="1"/>
        <v>0.99999999999999989</v>
      </c>
      <c r="K29" s="92" t="s">
        <v>224</v>
      </c>
    </row>
    <row r="30" spans="1:11">
      <c r="A30" s="83"/>
      <c r="B30" s="67" t="s">
        <v>290</v>
      </c>
      <c r="C30" s="67" t="s">
        <v>290</v>
      </c>
      <c r="D30" s="72" t="s">
        <v>291</v>
      </c>
      <c r="E30" s="73">
        <v>0.3</v>
      </c>
      <c r="F30" s="73">
        <v>0.1</v>
      </c>
      <c r="G30" s="74">
        <v>0.3</v>
      </c>
      <c r="H30" s="74">
        <v>0.3</v>
      </c>
      <c r="I30" s="74"/>
      <c r="J30" s="73">
        <f t="shared" si="1"/>
        <v>1</v>
      </c>
      <c r="K30" s="91"/>
    </row>
    <row r="31" spans="1:11">
      <c r="A31" s="83"/>
      <c r="B31" s="67" t="s">
        <v>292</v>
      </c>
      <c r="C31" s="67" t="s">
        <v>292</v>
      </c>
      <c r="D31" s="72" t="s">
        <v>124</v>
      </c>
      <c r="E31" s="73">
        <v>0.4</v>
      </c>
      <c r="F31" s="73">
        <v>0.1</v>
      </c>
      <c r="G31" s="74">
        <v>0.2</v>
      </c>
      <c r="H31" s="74">
        <v>0.2</v>
      </c>
      <c r="I31" s="74">
        <v>0.1</v>
      </c>
      <c r="J31" s="73">
        <f t="shared" si="1"/>
        <v>0.99999999999999989</v>
      </c>
      <c r="K31" s="92" t="s">
        <v>224</v>
      </c>
    </row>
    <row r="32" spans="1:11">
      <c r="A32" s="83"/>
      <c r="B32" s="67" t="s">
        <v>293</v>
      </c>
      <c r="C32" s="67" t="s">
        <v>293</v>
      </c>
      <c r="D32" s="72" t="s">
        <v>128</v>
      </c>
      <c r="E32" s="73">
        <v>0.3</v>
      </c>
      <c r="F32" s="73">
        <v>0.1</v>
      </c>
      <c r="G32" s="74">
        <v>0.3</v>
      </c>
      <c r="H32" s="74">
        <v>0.3</v>
      </c>
      <c r="I32" s="74"/>
      <c r="J32" s="73">
        <f t="shared" si="1"/>
        <v>1</v>
      </c>
      <c r="K32" s="91"/>
    </row>
    <row r="33" spans="1:11">
      <c r="A33" s="83"/>
      <c r="B33" s="67" t="s">
        <v>294</v>
      </c>
      <c r="C33" s="67" t="s">
        <v>295</v>
      </c>
      <c r="D33" s="84" t="s">
        <v>296</v>
      </c>
      <c r="E33" s="73">
        <v>0.4</v>
      </c>
      <c r="F33" s="73">
        <v>0.1</v>
      </c>
      <c r="G33" s="74">
        <v>0.2</v>
      </c>
      <c r="H33" s="74">
        <v>0.2</v>
      </c>
      <c r="I33" s="74">
        <v>0.1</v>
      </c>
      <c r="J33" s="73">
        <f t="shared" si="1"/>
        <v>0.99999999999999989</v>
      </c>
      <c r="K33" s="92" t="s">
        <v>224</v>
      </c>
    </row>
    <row r="34" spans="1:11">
      <c r="A34" s="83"/>
      <c r="B34" s="67" t="s">
        <v>29</v>
      </c>
      <c r="C34" s="67" t="s">
        <v>29</v>
      </c>
      <c r="D34" s="72" t="s">
        <v>137</v>
      </c>
      <c r="E34" s="73">
        <v>0.4</v>
      </c>
      <c r="F34" s="73">
        <v>0.2</v>
      </c>
      <c r="G34" s="74">
        <v>0.15</v>
      </c>
      <c r="H34" s="74">
        <v>0.15</v>
      </c>
      <c r="I34" s="74">
        <v>0.1</v>
      </c>
      <c r="J34" s="73">
        <f t="shared" si="1"/>
        <v>1.0000000000000002</v>
      </c>
      <c r="K34" s="91"/>
    </row>
    <row r="35" spans="1:11">
      <c r="A35" s="83"/>
      <c r="B35" s="67" t="s">
        <v>297</v>
      </c>
      <c r="C35" s="67" t="s">
        <v>297</v>
      </c>
      <c r="D35" s="72" t="s">
        <v>123</v>
      </c>
      <c r="E35" s="73">
        <v>0.3</v>
      </c>
      <c r="F35" s="73">
        <v>0.1</v>
      </c>
      <c r="G35" s="74">
        <v>0.3</v>
      </c>
      <c r="H35" s="74">
        <v>0.3</v>
      </c>
      <c r="I35" s="74"/>
      <c r="J35" s="73">
        <f t="shared" si="1"/>
        <v>1</v>
      </c>
      <c r="K35" s="91"/>
    </row>
    <row r="36" spans="1:11">
      <c r="A36" s="85" t="s">
        <v>298</v>
      </c>
      <c r="B36" s="67" t="s">
        <v>299</v>
      </c>
      <c r="C36" s="86" t="s">
        <v>299</v>
      </c>
      <c r="D36" s="70" t="s">
        <v>300</v>
      </c>
      <c r="E36" s="70">
        <v>0.4</v>
      </c>
      <c r="F36" s="70">
        <v>0.2</v>
      </c>
      <c r="G36" s="70">
        <v>0.15</v>
      </c>
      <c r="H36" s="70">
        <v>0.15</v>
      </c>
      <c r="I36" s="70">
        <v>0.1</v>
      </c>
      <c r="J36" s="70">
        <f t="shared" si="1"/>
        <v>1.0000000000000002</v>
      </c>
      <c r="K36" s="77"/>
    </row>
    <row r="37" spans="1:11">
      <c r="A37" s="85"/>
      <c r="B37" s="67" t="s">
        <v>301</v>
      </c>
      <c r="C37" s="67" t="s">
        <v>301</v>
      </c>
      <c r="D37" s="79" t="s">
        <v>87</v>
      </c>
      <c r="E37" s="80">
        <v>0.4</v>
      </c>
      <c r="F37" s="80">
        <v>0.2</v>
      </c>
      <c r="G37" s="74">
        <v>0.15</v>
      </c>
      <c r="H37" s="74">
        <v>0.15</v>
      </c>
      <c r="I37" s="74">
        <v>0.1</v>
      </c>
      <c r="J37" s="73">
        <f t="shared" si="1"/>
        <v>1.0000000000000002</v>
      </c>
      <c r="K37" s="92" t="s">
        <v>224</v>
      </c>
    </row>
    <row r="38" spans="1:11">
      <c r="A38" s="85"/>
      <c r="B38" s="67" t="s">
        <v>302</v>
      </c>
      <c r="C38" s="67" t="s">
        <v>303</v>
      </c>
      <c r="D38" s="79" t="s">
        <v>304</v>
      </c>
      <c r="E38" s="80">
        <v>0.4</v>
      </c>
      <c r="F38" s="80">
        <v>0.1</v>
      </c>
      <c r="G38" s="74">
        <v>0.2</v>
      </c>
      <c r="H38" s="74">
        <v>0.2</v>
      </c>
      <c r="I38" s="74">
        <v>0.1</v>
      </c>
      <c r="J38" s="73">
        <f t="shared" si="1"/>
        <v>0.99999999999999989</v>
      </c>
      <c r="K38" s="92" t="s">
        <v>224</v>
      </c>
    </row>
    <row r="39" spans="1:11">
      <c r="A39" s="85"/>
      <c r="B39" s="67" t="s">
        <v>305</v>
      </c>
      <c r="C39" s="67" t="s">
        <v>305</v>
      </c>
      <c r="D39" s="79" t="s">
        <v>306</v>
      </c>
      <c r="E39" s="87">
        <v>0.4</v>
      </c>
      <c r="F39" s="87">
        <v>0.1</v>
      </c>
      <c r="G39" s="74">
        <v>0.22500000000000001</v>
      </c>
      <c r="H39" s="74">
        <v>0.22500000000000001</v>
      </c>
      <c r="I39" s="74">
        <v>0.05</v>
      </c>
      <c r="J39" s="73">
        <f t="shared" si="1"/>
        <v>1</v>
      </c>
      <c r="K39" s="92" t="s">
        <v>224</v>
      </c>
    </row>
    <row r="40" spans="1:11">
      <c r="A40" s="85"/>
      <c r="B40" s="67" t="s">
        <v>307</v>
      </c>
      <c r="C40" s="67" t="s">
        <v>307</v>
      </c>
      <c r="D40" s="79" t="s">
        <v>89</v>
      </c>
      <c r="E40" s="80">
        <v>0.6</v>
      </c>
      <c r="F40" s="80">
        <v>0.1</v>
      </c>
      <c r="G40" s="74">
        <v>0.15</v>
      </c>
      <c r="H40" s="74">
        <v>0.15</v>
      </c>
      <c r="I40" s="74"/>
      <c r="J40" s="73">
        <f t="shared" si="1"/>
        <v>1</v>
      </c>
      <c r="K40" s="94" t="s">
        <v>224</v>
      </c>
    </row>
    <row r="41" spans="1:11">
      <c r="A41" s="85"/>
      <c r="B41" s="67" t="s">
        <v>308</v>
      </c>
      <c r="C41" s="67" t="s">
        <v>308</v>
      </c>
      <c r="D41" s="79" t="s">
        <v>309</v>
      </c>
      <c r="E41" s="80">
        <v>0.3</v>
      </c>
      <c r="F41" s="80">
        <v>0.1</v>
      </c>
      <c r="G41" s="74">
        <v>0.25</v>
      </c>
      <c r="H41" s="74">
        <v>0.25</v>
      </c>
      <c r="I41" s="74">
        <v>0.1</v>
      </c>
      <c r="J41" s="73">
        <f t="shared" si="1"/>
        <v>1</v>
      </c>
      <c r="K41" s="94" t="s">
        <v>224</v>
      </c>
    </row>
    <row r="42" spans="1:11">
      <c r="A42" s="85"/>
      <c r="B42" s="67" t="s">
        <v>310</v>
      </c>
      <c r="C42" s="67" t="s">
        <v>310</v>
      </c>
      <c r="D42" s="79" t="s">
        <v>311</v>
      </c>
      <c r="E42" s="80">
        <v>0.3</v>
      </c>
      <c r="F42" s="80">
        <v>0.1</v>
      </c>
      <c r="G42" s="74">
        <v>0.25</v>
      </c>
      <c r="H42" s="74">
        <v>0.25</v>
      </c>
      <c r="I42" s="74">
        <v>0.1</v>
      </c>
      <c r="J42" s="73">
        <f t="shared" si="1"/>
        <v>1</v>
      </c>
      <c r="K42" s="94" t="s">
        <v>224</v>
      </c>
    </row>
    <row r="43" spans="1:11">
      <c r="A43" s="85"/>
      <c r="B43" s="67" t="s">
        <v>312</v>
      </c>
      <c r="C43" s="67" t="s">
        <v>312</v>
      </c>
      <c r="D43" s="79" t="s">
        <v>183</v>
      </c>
      <c r="E43" s="80">
        <v>0.4</v>
      </c>
      <c r="F43" s="80">
        <v>0.1</v>
      </c>
      <c r="G43" s="74">
        <v>0.2</v>
      </c>
      <c r="H43" s="74">
        <v>0.2</v>
      </c>
      <c r="I43" s="74">
        <v>0.1</v>
      </c>
      <c r="J43" s="73">
        <f t="shared" si="1"/>
        <v>0.99999999999999989</v>
      </c>
      <c r="K43" s="92" t="s">
        <v>224</v>
      </c>
    </row>
    <row r="44" spans="1:11">
      <c r="A44" s="85"/>
      <c r="B44" s="67" t="s">
        <v>313</v>
      </c>
      <c r="C44" s="67" t="s">
        <v>313</v>
      </c>
      <c r="D44" s="79" t="s">
        <v>85</v>
      </c>
      <c r="E44" s="80">
        <v>0.4</v>
      </c>
      <c r="F44" s="80">
        <v>0.2</v>
      </c>
      <c r="G44" s="74">
        <v>0.15</v>
      </c>
      <c r="H44" s="74">
        <v>0.15</v>
      </c>
      <c r="I44" s="74">
        <v>0.1</v>
      </c>
      <c r="J44" s="73">
        <f t="shared" si="1"/>
        <v>1.0000000000000002</v>
      </c>
      <c r="K44" s="92" t="s">
        <v>224</v>
      </c>
    </row>
    <row r="45" spans="1:11">
      <c r="A45" s="85"/>
      <c r="B45" s="67" t="s">
        <v>314</v>
      </c>
      <c r="C45" s="67" t="s">
        <v>315</v>
      </c>
      <c r="D45" s="79" t="s">
        <v>316</v>
      </c>
      <c r="E45" s="80">
        <v>0.4</v>
      </c>
      <c r="F45" s="80">
        <v>0.2</v>
      </c>
      <c r="G45" s="74">
        <v>0.15</v>
      </c>
      <c r="H45" s="74">
        <v>0.15</v>
      </c>
      <c r="I45" s="74">
        <v>0.1</v>
      </c>
      <c r="J45" s="73">
        <f t="shared" si="1"/>
        <v>1.0000000000000002</v>
      </c>
      <c r="K45" s="92" t="s">
        <v>224</v>
      </c>
    </row>
    <row r="46" spans="1:11" ht="27">
      <c r="A46" s="66" t="s">
        <v>317</v>
      </c>
      <c r="B46" s="67" t="s">
        <v>318</v>
      </c>
      <c r="C46" s="86" t="s">
        <v>319</v>
      </c>
      <c r="D46" s="70" t="s">
        <v>320</v>
      </c>
      <c r="E46" s="70">
        <v>0.5</v>
      </c>
      <c r="F46" s="70">
        <v>0.3</v>
      </c>
      <c r="G46" s="70">
        <v>7.4999999999999997E-2</v>
      </c>
      <c r="H46" s="70">
        <v>7.4999999999999997E-2</v>
      </c>
      <c r="I46" s="70">
        <v>0.05</v>
      </c>
      <c r="J46" s="71">
        <f t="shared" si="1"/>
        <v>1</v>
      </c>
      <c r="K46" s="91"/>
    </row>
    <row r="47" spans="1:11">
      <c r="A47" s="66"/>
      <c r="B47" s="67" t="s">
        <v>321</v>
      </c>
      <c r="C47" s="67" t="s">
        <v>322</v>
      </c>
      <c r="D47" s="72" t="s">
        <v>323</v>
      </c>
      <c r="E47" s="73">
        <v>0.5</v>
      </c>
      <c r="F47" s="73">
        <v>0.3</v>
      </c>
      <c r="G47" s="73">
        <v>0.1</v>
      </c>
      <c r="H47" s="73">
        <v>0.1</v>
      </c>
      <c r="I47" s="74"/>
      <c r="J47" s="73">
        <f t="shared" si="1"/>
        <v>1</v>
      </c>
      <c r="K47" s="92" t="s">
        <v>224</v>
      </c>
    </row>
    <row r="48" spans="1:11">
      <c r="A48" s="66"/>
      <c r="B48" s="67" t="s">
        <v>324</v>
      </c>
      <c r="C48" s="67" t="s">
        <v>324</v>
      </c>
      <c r="D48" s="72" t="s">
        <v>325</v>
      </c>
      <c r="E48" s="73">
        <v>0.7</v>
      </c>
      <c r="F48" s="73">
        <v>0.1</v>
      </c>
      <c r="G48" s="73">
        <v>0.1</v>
      </c>
      <c r="H48" s="73">
        <v>0.1</v>
      </c>
      <c r="I48" s="74"/>
      <c r="J48" s="73">
        <f t="shared" si="1"/>
        <v>0.99999999999999989</v>
      </c>
      <c r="K48" s="91"/>
    </row>
    <row r="49" spans="1:11" ht="27">
      <c r="A49" s="66"/>
      <c r="B49" s="67" t="s">
        <v>326</v>
      </c>
      <c r="C49" s="67" t="s">
        <v>327</v>
      </c>
      <c r="D49" s="88" t="s">
        <v>138</v>
      </c>
      <c r="E49" s="73">
        <v>0.5</v>
      </c>
      <c r="F49" s="73">
        <v>0.3</v>
      </c>
      <c r="G49" s="73">
        <v>0.1</v>
      </c>
      <c r="H49" s="73">
        <v>0.1</v>
      </c>
      <c r="I49" s="74"/>
      <c r="J49" s="73">
        <f t="shared" si="1"/>
        <v>1</v>
      </c>
      <c r="K49" s="92" t="s">
        <v>224</v>
      </c>
    </row>
    <row r="50" spans="1:11" ht="27">
      <c r="A50" s="66"/>
      <c r="B50" s="67" t="s">
        <v>328</v>
      </c>
      <c r="C50" s="67" t="s">
        <v>329</v>
      </c>
      <c r="D50" s="72" t="s">
        <v>330</v>
      </c>
      <c r="E50" s="73">
        <v>0.5</v>
      </c>
      <c r="F50" s="73">
        <v>0.1</v>
      </c>
      <c r="G50" s="73">
        <v>0.2</v>
      </c>
      <c r="H50" s="73">
        <v>0.2</v>
      </c>
      <c r="I50" s="74"/>
      <c r="J50" s="73">
        <f t="shared" si="1"/>
        <v>1</v>
      </c>
      <c r="K50" s="91"/>
    </row>
    <row r="51" spans="1:11">
      <c r="A51" s="66"/>
      <c r="B51" s="67" t="s">
        <v>331</v>
      </c>
      <c r="C51" s="67" t="s">
        <v>331</v>
      </c>
      <c r="D51" s="72" t="s">
        <v>332</v>
      </c>
      <c r="E51" s="73">
        <v>0.6</v>
      </c>
      <c r="F51" s="73">
        <v>0.1</v>
      </c>
      <c r="G51" s="73">
        <v>0.15</v>
      </c>
      <c r="H51" s="73">
        <v>0.15</v>
      </c>
      <c r="I51" s="74"/>
      <c r="J51" s="73">
        <f t="shared" si="1"/>
        <v>1</v>
      </c>
      <c r="K51" s="91"/>
    </row>
    <row r="52" spans="1:11">
      <c r="A52" s="66"/>
      <c r="B52" s="67" t="s">
        <v>333</v>
      </c>
      <c r="C52" s="67" t="s">
        <v>334</v>
      </c>
      <c r="D52" s="72" t="s">
        <v>132</v>
      </c>
      <c r="E52" s="73">
        <v>0.4</v>
      </c>
      <c r="F52" s="73">
        <v>0.2</v>
      </c>
      <c r="G52" s="73">
        <v>0.2</v>
      </c>
      <c r="H52" s="73">
        <v>0.2</v>
      </c>
      <c r="I52" s="74"/>
      <c r="J52" s="73">
        <f t="shared" si="1"/>
        <v>1</v>
      </c>
      <c r="K52" s="92" t="s">
        <v>224</v>
      </c>
    </row>
    <row r="53" spans="1:11">
      <c r="A53" s="66"/>
      <c r="B53" s="67" t="s">
        <v>335</v>
      </c>
      <c r="C53" s="67" t="s">
        <v>335</v>
      </c>
      <c r="D53" s="72" t="s">
        <v>336</v>
      </c>
      <c r="E53" s="73">
        <v>0.5</v>
      </c>
      <c r="F53" s="73">
        <v>0.1</v>
      </c>
      <c r="G53" s="73">
        <v>0.2</v>
      </c>
      <c r="H53" s="73">
        <v>0.2</v>
      </c>
      <c r="I53" s="74"/>
      <c r="J53" s="73">
        <f t="shared" si="1"/>
        <v>1</v>
      </c>
      <c r="K53" s="91"/>
    </row>
    <row r="54" spans="1:11" ht="27">
      <c r="A54" s="66"/>
      <c r="B54" s="67" t="s">
        <v>337</v>
      </c>
      <c r="C54" s="67" t="s">
        <v>338</v>
      </c>
      <c r="D54" s="72" t="s">
        <v>339</v>
      </c>
      <c r="E54" s="73">
        <v>0.45</v>
      </c>
      <c r="F54" s="73">
        <v>0.5</v>
      </c>
      <c r="G54" s="73">
        <v>0.05</v>
      </c>
      <c r="H54" s="73">
        <v>0</v>
      </c>
      <c r="I54" s="74"/>
      <c r="J54" s="73">
        <f t="shared" si="1"/>
        <v>1</v>
      </c>
      <c r="K54" s="91"/>
    </row>
    <row r="55" spans="1:11">
      <c r="A55" s="66"/>
      <c r="B55" s="67" t="s">
        <v>27</v>
      </c>
      <c r="C55" s="67" t="s">
        <v>27</v>
      </c>
      <c r="D55" s="72" t="s">
        <v>340</v>
      </c>
      <c r="E55" s="73">
        <v>0.5</v>
      </c>
      <c r="F55" s="73">
        <v>0.3</v>
      </c>
      <c r="G55" s="73">
        <v>0.05</v>
      </c>
      <c r="H55" s="73">
        <v>0.15</v>
      </c>
      <c r="I55" s="74"/>
      <c r="J55" s="73">
        <f t="shared" si="1"/>
        <v>1</v>
      </c>
      <c r="K55" s="92" t="s">
        <v>224</v>
      </c>
    </row>
    <row r="56" spans="1:11" ht="27">
      <c r="A56" s="66"/>
      <c r="B56" s="67" t="s">
        <v>341</v>
      </c>
      <c r="C56" s="67" t="s">
        <v>342</v>
      </c>
      <c r="D56" s="72" t="s">
        <v>343</v>
      </c>
      <c r="E56" s="73">
        <v>0.7</v>
      </c>
      <c r="F56" s="73">
        <v>0.1</v>
      </c>
      <c r="G56" s="73">
        <v>0.15</v>
      </c>
      <c r="H56" s="73">
        <v>0.05</v>
      </c>
      <c r="I56" s="74"/>
      <c r="J56" s="73">
        <f t="shared" si="1"/>
        <v>1</v>
      </c>
      <c r="K56" s="92"/>
    </row>
    <row r="57" spans="1:11">
      <c r="A57" s="66"/>
      <c r="B57" s="67" t="s">
        <v>344</v>
      </c>
      <c r="C57" s="89" t="s">
        <v>345</v>
      </c>
      <c r="D57" s="76" t="s">
        <v>346</v>
      </c>
      <c r="E57" s="74">
        <v>0.5</v>
      </c>
      <c r="F57" s="74">
        <v>0.3</v>
      </c>
      <c r="G57" s="74">
        <v>0.1</v>
      </c>
      <c r="H57" s="74">
        <v>0.1</v>
      </c>
      <c r="I57" s="74"/>
      <c r="J57" s="74">
        <f t="shared" si="1"/>
        <v>1</v>
      </c>
      <c r="K57" s="91"/>
    </row>
    <row r="58" spans="1:11" ht="27">
      <c r="A58" s="66"/>
      <c r="B58" s="67" t="s">
        <v>347</v>
      </c>
      <c r="C58" s="67" t="s">
        <v>348</v>
      </c>
      <c r="D58" s="72" t="s">
        <v>349</v>
      </c>
      <c r="E58" s="73">
        <v>0.5</v>
      </c>
      <c r="F58" s="73">
        <v>0.3</v>
      </c>
      <c r="G58" s="73">
        <v>0.1</v>
      </c>
      <c r="H58" s="73">
        <v>0.1</v>
      </c>
      <c r="I58" s="74"/>
      <c r="J58" s="73">
        <f t="shared" si="1"/>
        <v>1</v>
      </c>
      <c r="K58" s="92" t="s">
        <v>224</v>
      </c>
    </row>
    <row r="59" spans="1:11" ht="27">
      <c r="A59" s="66"/>
      <c r="B59" s="67" t="s">
        <v>350</v>
      </c>
      <c r="C59" s="67" t="s">
        <v>351</v>
      </c>
      <c r="D59" s="72" t="s">
        <v>352</v>
      </c>
      <c r="E59" s="73">
        <v>0.7</v>
      </c>
      <c r="F59" s="73">
        <v>0.2</v>
      </c>
      <c r="G59" s="73">
        <v>0.1</v>
      </c>
      <c r="H59" s="73">
        <v>0</v>
      </c>
      <c r="I59" s="74"/>
      <c r="J59" s="73">
        <f t="shared" si="1"/>
        <v>0.99999999999999989</v>
      </c>
      <c r="K59" s="91"/>
    </row>
    <row r="60" spans="1:11">
      <c r="A60" s="66"/>
      <c r="B60" s="67" t="s">
        <v>353</v>
      </c>
      <c r="C60" s="67" t="s">
        <v>353</v>
      </c>
      <c r="D60" s="72" t="s">
        <v>135</v>
      </c>
      <c r="E60" s="73">
        <v>0.7</v>
      </c>
      <c r="F60" s="73">
        <v>0.1</v>
      </c>
      <c r="G60" s="73">
        <v>0.05</v>
      </c>
      <c r="H60" s="73">
        <v>0.15</v>
      </c>
      <c r="I60" s="74"/>
      <c r="J60" s="73">
        <f t="shared" si="1"/>
        <v>1</v>
      </c>
      <c r="K60" s="91"/>
    </row>
    <row r="61" spans="1:11">
      <c r="A61" s="66"/>
      <c r="B61" s="67" t="s">
        <v>354</v>
      </c>
      <c r="C61" s="67" t="s">
        <v>355</v>
      </c>
      <c r="D61" s="72" t="s">
        <v>356</v>
      </c>
      <c r="E61" s="73">
        <v>0.6</v>
      </c>
      <c r="F61" s="73">
        <v>0.1</v>
      </c>
      <c r="G61" s="73">
        <v>0.15</v>
      </c>
      <c r="H61" s="73">
        <v>0.15</v>
      </c>
      <c r="I61" s="74"/>
      <c r="J61" s="73">
        <f t="shared" si="1"/>
        <v>1</v>
      </c>
      <c r="K61" s="91"/>
    </row>
    <row r="62" spans="1:11" ht="27">
      <c r="A62" s="66"/>
      <c r="B62" s="67" t="s">
        <v>357</v>
      </c>
      <c r="C62" s="67" t="s">
        <v>358</v>
      </c>
      <c r="D62" s="84" t="s">
        <v>359</v>
      </c>
      <c r="E62" s="73">
        <v>0.5</v>
      </c>
      <c r="F62" s="73">
        <v>0.1</v>
      </c>
      <c r="G62" s="73">
        <v>0.2</v>
      </c>
      <c r="H62" s="73">
        <v>0.2</v>
      </c>
      <c r="I62" s="74"/>
      <c r="J62" s="73">
        <f t="shared" si="1"/>
        <v>1</v>
      </c>
      <c r="K62" s="92" t="s">
        <v>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软科</vt:lpstr>
      <vt:lpstr>usnews</vt:lpstr>
      <vt:lpstr>the</vt:lpstr>
      <vt:lpstr>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2026-04-24T02:21:28Z</dcterms:modified>
</cp:coreProperties>
</file>