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22749376-0F46-4933-AF4D-A7B7A7AC8BBA}" xr6:coauthVersionLast="47" xr6:coauthVersionMax="47" xr10:uidLastSave="{00000000-0000-0000-0000-000000000000}"/>
  <bookViews>
    <workbookView xWindow="30735" yWindow="795" windowWidth="25680" windowHeight="14190" activeTab="1" xr2:uid="{00000000-000D-0000-FFFF-FFFF00000000}"/>
  </bookViews>
  <sheets>
    <sheet name="学科映射关系" sheetId="3" r:id="rId1"/>
    <sheet name="Sheet1" sheetId="1" r:id="rId2"/>
  </sheets>
  <definedNames>
    <definedName name="_xlnm._FilterDatabase" localSheetId="1" hidden="1">Sheet1!$A$1:$E$176</definedName>
    <definedName name="_xlnm._FilterDatabase" localSheetId="0" hidden="1">学科映射关系!$A$1:$J$182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8" i="1" l="1"/>
  <c r="E129" i="1"/>
  <c r="E130" i="1"/>
  <c r="E131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50" i="1"/>
  <c r="E152" i="1"/>
  <c r="E156" i="1"/>
  <c r="E157" i="1"/>
  <c r="E158" i="1"/>
  <c r="E160" i="1"/>
  <c r="E163" i="1"/>
  <c r="E165" i="1"/>
  <c r="E166" i="1"/>
  <c r="E167" i="1"/>
  <c r="E172" i="1"/>
  <c r="E173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57" i="1"/>
  <c r="E115" i="1"/>
  <c r="E116" i="1"/>
  <c r="E117" i="1"/>
  <c r="E118" i="1"/>
  <c r="E119" i="1"/>
  <c r="E120" i="1"/>
  <c r="E121" i="1"/>
  <c r="E122" i="1"/>
  <c r="E123" i="1"/>
  <c r="E124" i="1"/>
  <c r="E1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</calcChain>
</file>

<file path=xl/sharedStrings.xml><?xml version="1.0" encoding="utf-8"?>
<sst xmlns="http://schemas.openxmlformats.org/spreadsheetml/2006/main" count="1652" uniqueCount="557">
  <si>
    <t>榜单学科</t>
  </si>
  <si>
    <t>对应一级学科</t>
  </si>
  <si>
    <t>榜单名称</t>
  </si>
  <si>
    <t>数学</t>
  </si>
  <si>
    <t>软科世界一流学科排名</t>
  </si>
  <si>
    <t>物理学</t>
  </si>
  <si>
    <t>化学</t>
  </si>
  <si>
    <t>地球科学</t>
  </si>
  <si>
    <t>地球物理学、地质资源与地质工程、地质学</t>
  </si>
  <si>
    <t>地理学</t>
  </si>
  <si>
    <t>生态学</t>
  </si>
  <si>
    <t>机械工程</t>
  </si>
  <si>
    <t>电力电子工程</t>
  </si>
  <si>
    <t>电子科学与技术、电气工程</t>
  </si>
  <si>
    <t>控制科学与工程</t>
  </si>
  <si>
    <t>通信工程</t>
  </si>
  <si>
    <t>信息与通信工程</t>
  </si>
  <si>
    <t>仪器科学</t>
  </si>
  <si>
    <t>仪器科学与技术</t>
  </si>
  <si>
    <t>生物医学工程</t>
  </si>
  <si>
    <t>计算机科学与工程</t>
  </si>
  <si>
    <t>计算机科学与技术、网络空间安全、软件工程</t>
  </si>
  <si>
    <t>土木工程</t>
  </si>
  <si>
    <t>化学工程</t>
  </si>
  <si>
    <t>化学工程与技术</t>
  </si>
  <si>
    <t>材料科学与工程</t>
  </si>
  <si>
    <t>纳米科学与技术</t>
  </si>
  <si>
    <t>纳米科学与工程</t>
  </si>
  <si>
    <t>能源科学与工程</t>
  </si>
  <si>
    <t>动力工程及工程热物理</t>
  </si>
  <si>
    <t>环境科学与工程</t>
  </si>
  <si>
    <t>水资源工程</t>
  </si>
  <si>
    <t>水利工程</t>
  </si>
  <si>
    <t>食品科学与工程</t>
  </si>
  <si>
    <t>生物工程</t>
  </si>
  <si>
    <t>航空航天工程</t>
  </si>
  <si>
    <t>航空宇航科学与技术</t>
  </si>
  <si>
    <t>船舶与海洋工程</t>
  </si>
  <si>
    <t>交通运输工程</t>
  </si>
  <si>
    <t>遥感技术</t>
  </si>
  <si>
    <t>遥感科学与技术</t>
  </si>
  <si>
    <t>矿业工程</t>
  </si>
  <si>
    <t>冶金工程</t>
  </si>
  <si>
    <t>生物学</t>
  </si>
  <si>
    <t>基础医学</t>
  </si>
  <si>
    <t>农学</t>
  </si>
  <si>
    <t>植物保护、水产、草学、畜牧学、园艺学、林学、作物学、农业工程、农业资源与环境</t>
  </si>
  <si>
    <t>兽医学</t>
  </si>
  <si>
    <t>临床医学</t>
  </si>
  <si>
    <t>公共卫生</t>
  </si>
  <si>
    <t>公共卫生与预防医学</t>
  </si>
  <si>
    <t>口腔医学</t>
  </si>
  <si>
    <t>护理学</t>
  </si>
  <si>
    <t>医学技术</t>
  </si>
  <si>
    <t>药学</t>
  </si>
  <si>
    <t>经济学</t>
  </si>
  <si>
    <t>应用经济学、理论经济学</t>
  </si>
  <si>
    <t>统计学</t>
  </si>
  <si>
    <t>法学</t>
  </si>
  <si>
    <t>政治学</t>
  </si>
  <si>
    <t>社会学</t>
  </si>
  <si>
    <t>教育学</t>
  </si>
  <si>
    <t>新闻传播学</t>
  </si>
  <si>
    <t>心理学</t>
  </si>
  <si>
    <t>工商管理</t>
  </si>
  <si>
    <t>工商管理学</t>
  </si>
  <si>
    <t>金融学</t>
  </si>
  <si>
    <t>应用经济学</t>
  </si>
  <si>
    <t>管理学</t>
  </si>
  <si>
    <t>管理科学与工程</t>
  </si>
  <si>
    <t>公共管理</t>
  </si>
  <si>
    <t>公共管理学</t>
  </si>
  <si>
    <t>旅游休闲管理</t>
  </si>
  <si>
    <t>图书情报科学</t>
  </si>
  <si>
    <t>信息资源管理</t>
  </si>
  <si>
    <t>海洋科学</t>
  </si>
  <si>
    <t>大气科学</t>
  </si>
  <si>
    <t>纺织科学与工程</t>
  </si>
  <si>
    <t>会计与金融</t>
  </si>
  <si>
    <t>工商管理学、应用经济学</t>
  </si>
  <si>
    <t>QS世界学科排名</t>
  </si>
  <si>
    <t>农学与林学</t>
  </si>
  <si>
    <t>草学、畜牧学、林学、林业工程、农业工程、农业资源与环境、水产、园艺学、植物保护、作物学</t>
  </si>
  <si>
    <t>解剖学和生理学</t>
  </si>
  <si>
    <t>人类学</t>
  </si>
  <si>
    <t>考古学</t>
  </si>
  <si>
    <t>建筑学</t>
  </si>
  <si>
    <t>艺术与设计</t>
  </si>
  <si>
    <t>艺术学、设计学</t>
  </si>
  <si>
    <t>生物科学</t>
  </si>
  <si>
    <t>商务与管理</t>
  </si>
  <si>
    <t>古典文学与古代史</t>
  </si>
  <si>
    <t>世界史、外国语言文学</t>
  </si>
  <si>
    <t>传播与媒体研究</t>
  </si>
  <si>
    <t>计算机科学与信息系统</t>
  </si>
  <si>
    <t>计算机科学与技术、软件工程、网络空间安全</t>
  </si>
  <si>
    <t>牙科学</t>
  </si>
  <si>
    <t>发展研究</t>
  </si>
  <si>
    <t>理论经济学</t>
  </si>
  <si>
    <t>地球与海洋科学</t>
  </si>
  <si>
    <t>大气科学、海洋科学</t>
  </si>
  <si>
    <t>经济与计量经济学</t>
  </si>
  <si>
    <t>教育与培训</t>
  </si>
  <si>
    <t>电子电气工程</t>
  </si>
  <si>
    <t>电气工程、电子科学与技术</t>
  </si>
  <si>
    <t>机械、航空和制造工程</t>
  </si>
  <si>
    <t>航空宇航科学与技术、机械工程</t>
  </si>
  <si>
    <t>矿物与采矿工程</t>
  </si>
  <si>
    <t>英语语言文学</t>
  </si>
  <si>
    <t>外国语言文学</t>
  </si>
  <si>
    <t>环境科学</t>
  </si>
  <si>
    <t>历史学</t>
  </si>
  <si>
    <t>中国史、世界史</t>
  </si>
  <si>
    <t>酒店管理</t>
  </si>
  <si>
    <t>法律及法律研究</t>
  </si>
  <si>
    <t>图书馆信息管理</t>
  </si>
  <si>
    <t>语言学</t>
  </si>
  <si>
    <t>外国语言文学、中国语言文学</t>
  </si>
  <si>
    <t>材料科学</t>
  </si>
  <si>
    <t>医学</t>
  </si>
  <si>
    <t>公共卫生与预防医学、基础医学、临床医学</t>
  </si>
  <si>
    <t>现代语言学</t>
  </si>
  <si>
    <t>表演艺术</t>
  </si>
  <si>
    <t>艺术学</t>
  </si>
  <si>
    <t>药剂与药理学</t>
  </si>
  <si>
    <t>哲学</t>
  </si>
  <si>
    <t>物理与天文学</t>
  </si>
  <si>
    <t>物理学、天文学</t>
  </si>
  <si>
    <t>社会政策与行政管理</t>
  </si>
  <si>
    <t>体育相关学科</t>
  </si>
  <si>
    <t>体育学</t>
  </si>
  <si>
    <t>统计与运筹学</t>
  </si>
  <si>
    <t>管理科学与工程、统计学</t>
  </si>
  <si>
    <t>神学、神学与宗教研究</t>
  </si>
  <si>
    <t>大气科学、地球物理学、地质学、地质资源与地质工程、海洋科学</t>
  </si>
  <si>
    <t>石油工程学</t>
  </si>
  <si>
    <t>石油与天然气工程</t>
  </si>
  <si>
    <t>地质学</t>
  </si>
  <si>
    <t>地球物理学</t>
  </si>
  <si>
    <t>数据科学</t>
  </si>
  <si>
    <t>市场营销</t>
  </si>
  <si>
    <t>艺术史</t>
  </si>
  <si>
    <t>音乐学</t>
  </si>
  <si>
    <t>数据科学与人工智能</t>
  </si>
  <si>
    <t>艺术与人文</t>
  </si>
  <si>
    <t>艺术学、设计学、外国语言文学、中国语言文学、中国史、世界史、哲学、建筑学、考古学</t>
  </si>
  <si>
    <t>THE世界学科排名</t>
  </si>
  <si>
    <t>商业与经济</t>
  </si>
  <si>
    <t>工商管理学、应用经济学、理论经济学</t>
  </si>
  <si>
    <t>临床健康</t>
  </si>
  <si>
    <t>临床医学、护理学、口腔医学</t>
  </si>
  <si>
    <t>计算机科学</t>
  </si>
  <si>
    <t>工程</t>
  </si>
  <si>
    <t>电气工程、机械工程、土木工程、化学工程与技术、电子科学与技术、航空宇航科学与技术、动力工程及工程热物理、信息与通信工程、控制科学与工程</t>
  </si>
  <si>
    <t>生命科学</t>
  </si>
  <si>
    <t>生物学、生态学、兽医学、林学、作物学、园艺学、植物保护、草学、畜牧学、水产</t>
  </si>
  <si>
    <t>社会科学</t>
  </si>
  <si>
    <t>社会学、新闻传播学、政治学、民族学</t>
  </si>
  <si>
    <t>肿瘤学</t>
  </si>
  <si>
    <t>US News世界学科排名</t>
  </si>
  <si>
    <t>植物与动物科学</t>
  </si>
  <si>
    <t>设计学、外国语言文学、中国语言文学、艺术学、考古学、建筑学</t>
  </si>
  <si>
    <t>药理学与毒理学</t>
  </si>
  <si>
    <t>心脏及心血管系统</t>
  </si>
  <si>
    <t>细胞生物学</t>
  </si>
  <si>
    <t>生物学、基础医学</t>
  </si>
  <si>
    <t>物理化学</t>
  </si>
  <si>
    <t>微生物学</t>
  </si>
  <si>
    <t>外科学</t>
  </si>
  <si>
    <t>水资源</t>
  </si>
  <si>
    <t>食品科学与技术</t>
  </si>
  <si>
    <t>生物学与生物化学</t>
  </si>
  <si>
    <t>生物技术应用微生物学</t>
  </si>
  <si>
    <t>神经科学与行为</t>
  </si>
  <si>
    <t>社会科学与公共卫生</t>
  </si>
  <si>
    <t>人工智能</t>
  </si>
  <si>
    <t>计算机科学与技术</t>
  </si>
  <si>
    <t>气象学和大气科学</t>
  </si>
  <si>
    <t>农业科学</t>
  </si>
  <si>
    <t>作物学、园艺学、农业资源与环境、植物保护、畜牧学、兽医学、林学、水产、草学</t>
  </si>
  <si>
    <t>凝聚态物理学</t>
  </si>
  <si>
    <t>能源和燃料</t>
  </si>
  <si>
    <t>内分泌代谢</t>
  </si>
  <si>
    <t>纳米科学与纳米技术</t>
  </si>
  <si>
    <t>免疫学</t>
  </si>
  <si>
    <t>绿色可持续科技</t>
  </si>
  <si>
    <t>空间科学</t>
  </si>
  <si>
    <t>天文学</t>
  </si>
  <si>
    <t>精神病学与心理学</t>
  </si>
  <si>
    <t>教育学和教育研究</t>
  </si>
  <si>
    <t>环境与生态学</t>
  </si>
  <si>
    <t>环境工程</t>
  </si>
  <si>
    <t>海洋与淡水生物学</t>
  </si>
  <si>
    <t>光学</t>
  </si>
  <si>
    <t>光学工程</t>
  </si>
  <si>
    <t>公共、环境和职业健康</t>
  </si>
  <si>
    <t>工程学</t>
  </si>
  <si>
    <t>高分子科学</t>
  </si>
  <si>
    <t>分子生物与遗传</t>
  </si>
  <si>
    <t>放射核医学医学影像学</t>
  </si>
  <si>
    <t>电气与电子工程</t>
  </si>
  <si>
    <t>地质学、地球物理学、海洋科学、大气科学、地质资源与地质工程</t>
  </si>
  <si>
    <t>传染性疾病</t>
  </si>
  <si>
    <t>肠胃病学肝病学</t>
  </si>
  <si>
    <t>序号</t>
  </si>
  <si>
    <t>门类代码</t>
  </si>
  <si>
    <t>学科门类</t>
  </si>
  <si>
    <t>一级学科代码</t>
  </si>
  <si>
    <t>一级学科名称</t>
  </si>
  <si>
    <t>01</t>
  </si>
  <si>
    <t>0101</t>
  </si>
  <si>
    <t>0151</t>
  </si>
  <si>
    <t>应用伦理</t>
  </si>
  <si>
    <t>02</t>
  </si>
  <si>
    <t>0201</t>
  </si>
  <si>
    <t>0202</t>
  </si>
  <si>
    <t>0251</t>
  </si>
  <si>
    <t>金融</t>
  </si>
  <si>
    <t>0252</t>
  </si>
  <si>
    <t>应用统计</t>
  </si>
  <si>
    <t>0253</t>
  </si>
  <si>
    <t>税务</t>
  </si>
  <si>
    <t>0254</t>
  </si>
  <si>
    <t>国际商务</t>
  </si>
  <si>
    <t>0255</t>
  </si>
  <si>
    <t>保险</t>
  </si>
  <si>
    <t>0256</t>
  </si>
  <si>
    <t>资产评估</t>
  </si>
  <si>
    <t>0258</t>
  </si>
  <si>
    <t>数字经济</t>
  </si>
  <si>
    <t>03</t>
  </si>
  <si>
    <t>0301</t>
  </si>
  <si>
    <t>0302</t>
  </si>
  <si>
    <t>0303</t>
  </si>
  <si>
    <t>0304</t>
  </si>
  <si>
    <t>民族学</t>
  </si>
  <si>
    <t>0305</t>
  </si>
  <si>
    <t>马克思主义理论</t>
  </si>
  <si>
    <t>0306</t>
  </si>
  <si>
    <t>公安学</t>
  </si>
  <si>
    <t>0307</t>
  </si>
  <si>
    <t>中共党史党建学</t>
  </si>
  <si>
    <t>0308</t>
  </si>
  <si>
    <t>纪检监察学</t>
  </si>
  <si>
    <t>0351</t>
  </si>
  <si>
    <t>法律</t>
  </si>
  <si>
    <t>0352</t>
  </si>
  <si>
    <t>社会工作</t>
  </si>
  <si>
    <t>0353</t>
  </si>
  <si>
    <t>警务</t>
  </si>
  <si>
    <t>0354</t>
  </si>
  <si>
    <t>知识产权</t>
  </si>
  <si>
    <t>0355</t>
  </si>
  <si>
    <t>国际事务</t>
  </si>
  <si>
    <t>04</t>
  </si>
  <si>
    <t>0401</t>
  </si>
  <si>
    <t>0402</t>
  </si>
  <si>
    <t>0403</t>
  </si>
  <si>
    <t>0451</t>
  </si>
  <si>
    <t>教育</t>
  </si>
  <si>
    <t>0452</t>
  </si>
  <si>
    <t>体育</t>
  </si>
  <si>
    <t>0453</t>
  </si>
  <si>
    <t>国际中文教育</t>
  </si>
  <si>
    <t>0454</t>
  </si>
  <si>
    <t>应用心理</t>
  </si>
  <si>
    <t>05</t>
  </si>
  <si>
    <t>文学</t>
  </si>
  <si>
    <t>0501</t>
  </si>
  <si>
    <t>中国语言文学</t>
  </si>
  <si>
    <t>0502</t>
  </si>
  <si>
    <t>0503</t>
  </si>
  <si>
    <t>0551</t>
  </si>
  <si>
    <t>翻译</t>
  </si>
  <si>
    <t>0552</t>
  </si>
  <si>
    <t>新闻与传播</t>
  </si>
  <si>
    <t>0553</t>
  </si>
  <si>
    <t>出版</t>
  </si>
  <si>
    <t>06</t>
  </si>
  <si>
    <t>0601</t>
  </si>
  <si>
    <t>0602</t>
  </si>
  <si>
    <t>中国史</t>
  </si>
  <si>
    <t>0603</t>
  </si>
  <si>
    <t>世界史</t>
  </si>
  <si>
    <t>0651</t>
  </si>
  <si>
    <t>博物馆</t>
  </si>
  <si>
    <t>07</t>
  </si>
  <si>
    <t>理学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</si>
  <si>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</si>
  <si>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</si>
  <si>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</si>
  <si>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</si>
  <si>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</si>
  <si>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</si>
  <si>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</si>
  <si>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</si>
  <si>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</si>
  <si>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</si>
  <si>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</si>
  <si>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系统科学</t>
  </si>
  <si>
    <t>0712</t>
  </si>
  <si>
    <t>科学技术史</t>
  </si>
  <si>
    <t>0713</t>
  </si>
  <si>
    <t>0714</t>
  </si>
  <si>
    <t>0751</t>
  </si>
  <si>
    <t>气象</t>
  </si>
  <si>
    <t>08</t>
  </si>
  <si>
    <t>工学</t>
  </si>
  <si>
    <t>0801</t>
  </si>
  <si>
    <t>力学</t>
  </si>
  <si>
    <t>0802</t>
  </si>
  <si>
    <t>0803</t>
  </si>
  <si>
    <t>0804</t>
  </si>
  <si>
    <t>0805</t>
  </si>
  <si>
    <t>0806</t>
  </si>
  <si>
    <t>0807</t>
  </si>
  <si>
    <t>0808</t>
  </si>
  <si>
    <t>电气工程</t>
  </si>
  <si>
    <t>0809</t>
  </si>
  <si>
    <t>电子科学与技术</t>
  </si>
  <si>
    <t>0810</t>
  </si>
  <si>
    <t>0811</t>
  </si>
  <si>
    <t>0812</t>
  </si>
  <si>
    <t>0813</t>
  </si>
  <si>
    <t>0814</t>
  </si>
  <si>
    <t>0815</t>
  </si>
  <si>
    <t>0816</t>
  </si>
  <si>
    <t>测绘科学与技术</t>
  </si>
  <si>
    <t>0817</t>
  </si>
  <si>
    <t>0818</t>
  </si>
  <si>
    <t>地质资源与地质工程</t>
  </si>
  <si>
    <t>0819</t>
  </si>
  <si>
    <t>0820</t>
  </si>
  <si>
    <t>0821</t>
  </si>
  <si>
    <t>0822</t>
  </si>
  <si>
    <t>轻工技术与工程</t>
  </si>
  <si>
    <t>0823</t>
  </si>
  <si>
    <t>0824</t>
  </si>
  <si>
    <t>0825</t>
  </si>
  <si>
    <t>0826</t>
  </si>
  <si>
    <t>兵器科学与技术</t>
  </si>
  <si>
    <t>0827</t>
  </si>
  <si>
    <t>核科学与技术</t>
  </si>
  <si>
    <t>0828</t>
  </si>
  <si>
    <t>农业工程</t>
  </si>
  <si>
    <t>0829</t>
  </si>
  <si>
    <t>林业工程</t>
  </si>
  <si>
    <t>0830</t>
  </si>
  <si>
    <t>0831</t>
  </si>
  <si>
    <t>0832</t>
  </si>
  <si>
    <t>0833</t>
  </si>
  <si>
    <t>城乡规划学</t>
  </si>
  <si>
    <t>0835</t>
  </si>
  <si>
    <t>软件工程</t>
  </si>
  <si>
    <t>0836</t>
  </si>
  <si>
    <t>0837</t>
  </si>
  <si>
    <t>安全科学与工程</t>
  </si>
  <si>
    <t>0838</t>
  </si>
  <si>
    <t>公安技术</t>
  </si>
  <si>
    <t>0839</t>
  </si>
  <si>
    <t>网络空间安全</t>
  </si>
  <si>
    <t>0851</t>
  </si>
  <si>
    <t>建筑</t>
  </si>
  <si>
    <t>0853</t>
  </si>
  <si>
    <t>城乡规划</t>
  </si>
  <si>
    <t>0854</t>
  </si>
  <si>
    <t>电子信息</t>
  </si>
  <si>
    <t>0855</t>
  </si>
  <si>
    <t>机械</t>
  </si>
  <si>
    <t>0856</t>
  </si>
  <si>
    <t>材料与化工</t>
  </si>
  <si>
    <t>0857</t>
  </si>
  <si>
    <t>资源与环境</t>
  </si>
  <si>
    <t>0858</t>
  </si>
  <si>
    <t>能源动力</t>
  </si>
  <si>
    <t>0859</t>
  </si>
  <si>
    <t>土木水利</t>
  </si>
  <si>
    <t>0860</t>
  </si>
  <si>
    <t>生物与医药</t>
  </si>
  <si>
    <t>0861</t>
  </si>
  <si>
    <t>交通运输</t>
  </si>
  <si>
    <t>0862</t>
  </si>
  <si>
    <t>风景园林</t>
  </si>
  <si>
    <t>09</t>
  </si>
  <si>
    <t>0901</t>
  </si>
  <si>
    <t>作物学</t>
  </si>
  <si>
    <t>0902</t>
  </si>
  <si>
    <t>园艺学</t>
  </si>
  <si>
    <t>0903</t>
  </si>
  <si>
    <t>农业资源与环境</t>
  </si>
  <si>
    <t>0904</t>
  </si>
  <si>
    <t>植物保护</t>
  </si>
  <si>
    <t>0905</t>
  </si>
  <si>
    <t>畜牧学</t>
  </si>
  <si>
    <t>0906</t>
  </si>
  <si>
    <t>0907</t>
  </si>
  <si>
    <t>林学</t>
  </si>
  <si>
    <t>0908</t>
  </si>
  <si>
    <t>水产</t>
  </si>
  <si>
    <t>0909</t>
  </si>
  <si>
    <t>草学</t>
  </si>
  <si>
    <t>0910</t>
  </si>
  <si>
    <t>水土保持与荒漠化防治学</t>
  </si>
  <si>
    <t>0951</t>
  </si>
  <si>
    <t>农业</t>
  </si>
  <si>
    <t>0952</t>
  </si>
  <si>
    <t>兽医</t>
  </si>
  <si>
    <t>0954</t>
  </si>
  <si>
    <t>林业</t>
  </si>
  <si>
    <t>0955</t>
  </si>
  <si>
    <t>食品与营养</t>
  </si>
  <si>
    <t>10</t>
  </si>
  <si>
    <t>1001</t>
  </si>
  <si>
    <t>1002</t>
  </si>
  <si>
    <t>1003</t>
  </si>
  <si>
    <t>1004</t>
  </si>
  <si>
    <t>1005</t>
  </si>
  <si>
    <t>中医学</t>
  </si>
  <si>
    <t>1006</t>
  </si>
  <si>
    <t>中西医结合</t>
  </si>
  <si>
    <t>1007</t>
  </si>
  <si>
    <t>1008</t>
  </si>
  <si>
    <t>中药学</t>
  </si>
  <si>
    <t>1009</t>
  </si>
  <si>
    <t>特种医学</t>
  </si>
  <si>
    <t>1011</t>
  </si>
  <si>
    <t>1012</t>
  </si>
  <si>
    <t>法医学</t>
  </si>
  <si>
    <t>1053</t>
  </si>
  <si>
    <t>1054</t>
  </si>
  <si>
    <t>护理</t>
  </si>
  <si>
    <t>1056</t>
  </si>
  <si>
    <t>中药</t>
  </si>
  <si>
    <t>1057</t>
  </si>
  <si>
    <t>中医</t>
  </si>
  <si>
    <t>1058</t>
  </si>
  <si>
    <t>1059</t>
  </si>
  <si>
    <t>针灸</t>
  </si>
  <si>
    <t>11</t>
  </si>
  <si>
    <t>军事学</t>
  </si>
  <si>
    <t>1101</t>
  </si>
  <si>
    <t>军事思想与军事历史</t>
  </si>
  <si>
    <t>1102</t>
  </si>
  <si>
    <t>战略学</t>
  </si>
  <si>
    <t>1103</t>
  </si>
  <si>
    <t>联合作战学</t>
  </si>
  <si>
    <t>1104</t>
  </si>
  <si>
    <t>军兵种作战学</t>
  </si>
  <si>
    <t>1105</t>
  </si>
  <si>
    <t>军队指挥学</t>
  </si>
  <si>
    <t>1106</t>
  </si>
  <si>
    <t>军队政治工作学</t>
  </si>
  <si>
    <t>1107</t>
  </si>
  <si>
    <t>军事后勤学</t>
  </si>
  <si>
    <t>1108</t>
  </si>
  <si>
    <t>军事装备学</t>
  </si>
  <si>
    <t>1109</t>
  </si>
  <si>
    <t>军事管理学</t>
  </si>
  <si>
    <t>1110</t>
  </si>
  <si>
    <t>军事训练学</t>
  </si>
  <si>
    <t>1111</t>
  </si>
  <si>
    <t>军事智能</t>
  </si>
  <si>
    <t>1152</t>
  </si>
  <si>
    <t>联合作战指挥</t>
  </si>
  <si>
    <t>1153</t>
  </si>
  <si>
    <t>军兵种作战指挥</t>
  </si>
  <si>
    <t>1154</t>
  </si>
  <si>
    <t>作战指挥保障</t>
  </si>
  <si>
    <t>1155</t>
  </si>
  <si>
    <t>战时政治工作</t>
  </si>
  <si>
    <t>1156</t>
  </si>
  <si>
    <t>后勤与装备保障</t>
  </si>
  <si>
    <t>1157</t>
  </si>
  <si>
    <t>军事训练与管理</t>
  </si>
  <si>
    <t>12</t>
  </si>
  <si>
    <t>1201</t>
  </si>
  <si>
    <t>1202</t>
  </si>
  <si>
    <t>1203</t>
  </si>
  <si>
    <t>农林经济管理</t>
  </si>
  <si>
    <t>1204</t>
  </si>
  <si>
    <t>1205</t>
  </si>
  <si>
    <t>1251</t>
  </si>
  <si>
    <t>1252</t>
  </si>
  <si>
    <t>1253</t>
  </si>
  <si>
    <t>会计</t>
  </si>
  <si>
    <t>1254</t>
  </si>
  <si>
    <t>旅游管理</t>
  </si>
  <si>
    <t>1255</t>
  </si>
  <si>
    <t>图书情报</t>
  </si>
  <si>
    <t>1256</t>
  </si>
  <si>
    <t>工程管理</t>
  </si>
  <si>
    <t>1257</t>
  </si>
  <si>
    <t>审计</t>
  </si>
  <si>
    <t>13</t>
  </si>
  <si>
    <t>1301</t>
  </si>
  <si>
    <t>1352</t>
  </si>
  <si>
    <t>音乐</t>
  </si>
  <si>
    <t>1353</t>
  </si>
  <si>
    <t>舞蹈</t>
  </si>
  <si>
    <t>1354</t>
  </si>
  <si>
    <t>戏剧与影视</t>
  </si>
  <si>
    <t>1355</t>
  </si>
  <si>
    <t>戏曲与曲艺</t>
  </si>
  <si>
    <t>1356</t>
  </si>
  <si>
    <t>美术与书法</t>
  </si>
  <si>
    <t>1357</t>
  </si>
  <si>
    <t>设计</t>
  </si>
  <si>
    <t>14</t>
  </si>
  <si>
    <t>交叉学科</t>
  </si>
  <si>
    <t>1401</t>
  </si>
  <si>
    <t>集成电路科学与工程</t>
  </si>
  <si>
    <t>1402</t>
  </si>
  <si>
    <t>国家安全学</t>
  </si>
  <si>
    <t>1403</t>
  </si>
  <si>
    <t>设计学</t>
  </si>
  <si>
    <t>1404</t>
  </si>
  <si>
    <t>1405</t>
  </si>
  <si>
    <t>智能科学与技术</t>
  </si>
  <si>
    <t>1406</t>
  </si>
  <si>
    <t>1407</t>
  </si>
  <si>
    <t>区域国别学</t>
  </si>
  <si>
    <t>1451</t>
  </si>
  <si>
    <t>文物</t>
  </si>
  <si>
    <t>1452</t>
  </si>
  <si>
    <t>密码</t>
  </si>
  <si>
    <t>目录年度</t>
    <phoneticPr fontId="2" type="noConversion"/>
  </si>
  <si>
    <t>软科世界一流学科对应名称</t>
  </si>
  <si>
    <t>QS对应的学科名称</t>
  </si>
  <si>
    <t>U.S.NEWS学科排名对应名称</t>
  </si>
  <si>
    <t>THE对应领域</t>
  </si>
  <si>
    <t>匹对情况</t>
    <phoneticPr fontId="2" type="noConversion"/>
  </si>
  <si>
    <t>金融学、经济学</t>
    <phoneticPr fontId="2" type="noConversion"/>
  </si>
  <si>
    <t>法律与法律研究</t>
  </si>
  <si>
    <t>现代语言文学</t>
  </si>
  <si>
    <t>化学，化学工程</t>
  </si>
  <si>
    <t>工学</t>
    <phoneticPr fontId="2" type="noConversion"/>
  </si>
  <si>
    <t>商业与经济</t>
    <phoneticPr fontId="2" type="noConversion"/>
  </si>
  <si>
    <t>临床健康</t>
    <phoneticPr fontId="2" type="noConversion"/>
  </si>
  <si>
    <t>计算机科学</t>
    <phoneticPr fontId="2" type="noConversion"/>
  </si>
  <si>
    <t>生命科学</t>
    <phoneticPr fontId="2" type="noConversion"/>
  </si>
  <si>
    <t>肿瘤学、心脏及心血管系统、外科学、内分泌代谢、临床医学、放射核医学医学影像学、肠胃病学肝病学</t>
    <phoneticPr fontId="2" type="noConversion"/>
  </si>
  <si>
    <t>细胞生物学</t>
    <phoneticPr fontId="2" type="noConversion"/>
  </si>
  <si>
    <t>免疫学、细胞生物学</t>
    <phoneticPr fontId="2" type="noConversion"/>
  </si>
  <si>
    <t>植物与动物科学
细胞生物学
微生物学
生物学与生物化学
生物技术应用微生物学
分子生物与遗传</t>
    <phoneticPr fontId="2" type="noConversion"/>
  </si>
  <si>
    <t>生态学、环境科学与工程</t>
    <phoneticPr fontId="2" type="noConversion"/>
  </si>
  <si>
    <t>电气与电子工程</t>
    <phoneticPr fontId="2" type="noConversion"/>
  </si>
  <si>
    <t>地球科学</t>
    <phoneticPr fontId="2" type="noConversion"/>
  </si>
  <si>
    <t>高分子科学</t>
    <phoneticPr fontId="2" type="noConversion"/>
  </si>
  <si>
    <t>材料科学与工程</t>
    <phoneticPr fontId="2" type="noConversion"/>
  </si>
  <si>
    <t>材料科学、高分子科学</t>
    <phoneticPr fontId="2" type="noConversion"/>
  </si>
  <si>
    <t>艺术与人文</t>
    <phoneticPr fontId="2" type="noConversion"/>
  </si>
  <si>
    <t>物理化学
化学工程
化学</t>
    <phoneticPr fontId="2" type="noConversion"/>
  </si>
  <si>
    <t>凝聚态物理学</t>
    <phoneticPr fontId="2" type="noConversion"/>
  </si>
  <si>
    <t>物理学
凝聚态物理学</t>
    <phoneticPr fontId="2" type="noConversion"/>
  </si>
  <si>
    <t>数据科学与人工智能</t>
    <phoneticPr fontId="2" type="noConversion"/>
  </si>
  <si>
    <t>教育与培训</t>
    <phoneticPr fontId="2" type="noConversion"/>
  </si>
  <si>
    <t>英语语言文学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</si>
</sst>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2"/>
      <color rgb="FF000000"/>
      <name val="等线"/>
      <charset val="134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2"/>
      <color rgb="FF9C0006"/>
      <name val="等线"/>
      <family val="3"/>
      <charset val="134"/>
    </font>
    <font>
      <sz val="11"/>
      <color rgb="FF000000"/>
      <name val="Calibri"/>
      <family val="2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</font>
    <font>
      <sz val="12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7" fillId="0" borderId="0" xfId="0" applyFont="1" applyAlignment="1">
      <alignment horizontal="center"/>
    </xf>
    <xf numFmtId="0" fontId="7" fillId="3" borderId="0" xfId="0" applyFont="1" applyFill="1"/>
    <xf numFmtId="0" fontId="8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41C8-D2B5-4522-A69B-5BE6FA8F1F4A}">
  <dimension ref="A1:J182"/>
  <sheetViews>
    <sheetView workbookViewId="0">
      <pane xSplit="6" ySplit="1" topLeftCell="G41" activePane="bottomRight" state="frozen"/>
      <selection pane="topRight" activeCell="G1" sqref="G1"/>
      <selection pane="bottomLeft" activeCell="A2" sqref="A2"/>
      <selection pane="bottomRight" activeCell="K1" sqref="K1:L1048576"/>
    </sheetView>
  </sheetViews>
  <sheetFormatPr defaultRowHeight="14.25"/>
  <cols>
    <col min="1" max="1" width="7.25" style="7" customWidth="1"/>
    <col min="2" max="2" width="10.25" style="7" customWidth="1"/>
    <col min="3" max="3" width="12.625" style="7" customWidth="1"/>
    <col min="4" max="4" width="12" style="7" customWidth="1"/>
    <col min="5" max="5" width="21.5" style="7" customWidth="1"/>
    <col min="6" max="6" width="10" style="7" customWidth="1"/>
    <col min="7" max="7" width="24.125" customWidth="1"/>
    <col min="8" max="8" width="17.125" customWidth="1"/>
    <col min="9" max="9" width="25" customWidth="1"/>
    <col min="10" max="10" width="14.625" customWidth="1"/>
  </cols>
  <sheetData>
    <row r="1" spans="1:10">
      <c r="A1" s="9" t="s">
        <v>204</v>
      </c>
      <c r="B1" s="9" t="s">
        <v>205</v>
      </c>
      <c r="C1" s="9" t="s">
        <v>206</v>
      </c>
      <c r="D1" s="9" t="s">
        <v>207</v>
      </c>
      <c r="E1" s="9" t="s">
        <v>208</v>
      </c>
      <c r="F1" s="9" t="s">
        <v>525</v>
      </c>
      <c r="G1" s="10" t="s">
        <v>526</v>
      </c>
      <c r="H1" s="10" t="s">
        <v>527</v>
      </c>
      <c r="I1" s="10" t="s">
        <v>528</v>
      </c>
      <c r="J1" s="10" t="s">
        <v>529</v>
      </c>
    </row>
    <row r="2" spans="1:10">
      <c r="A2" s="7">
        <v>1</v>
      </c>
      <c r="B2" s="7" t="s">
        <v>209</v>
      </c>
      <c r="C2" s="7" t="s">
        <v>125</v>
      </c>
      <c r="D2" s="7" t="s">
        <v>210</v>
      </c>
      <c r="E2" s="7" t="s">
        <v>125</v>
      </c>
      <c r="F2" s="7">
        <v>2022</v>
      </c>
      <c r="H2" t="s">
        <v>125</v>
      </c>
      <c r="J2" t="s">
        <v>144</v>
      </c>
    </row>
    <row r="3" spans="1:10">
      <c r="A3" s="7">
        <v>2</v>
      </c>
      <c r="B3" s="7" t="s">
        <v>209</v>
      </c>
      <c r="C3" s="7" t="s">
        <v>125</v>
      </c>
      <c r="D3" s="7" t="s">
        <v>211</v>
      </c>
      <c r="E3" s="7" t="s">
        <v>212</v>
      </c>
      <c r="F3" s="7">
        <v>2022</v>
      </c>
    </row>
    <row r="4" spans="1:10">
      <c r="A4" s="7">
        <v>3</v>
      </c>
      <c r="B4" s="7" t="s">
        <v>213</v>
      </c>
      <c r="C4" s="7" t="s">
        <v>55</v>
      </c>
      <c r="D4" s="7" t="s">
        <v>214</v>
      </c>
      <c r="E4" s="7" t="s">
        <v>98</v>
      </c>
      <c r="F4" s="7">
        <v>2022</v>
      </c>
      <c r="G4" t="s">
        <v>55</v>
      </c>
      <c r="H4" t="s">
        <v>97</v>
      </c>
      <c r="I4" t="s">
        <v>147</v>
      </c>
      <c r="J4" t="s">
        <v>147</v>
      </c>
    </row>
    <row r="5" spans="1:10">
      <c r="A5" s="7">
        <v>4</v>
      </c>
      <c r="B5" s="7" t="s">
        <v>213</v>
      </c>
      <c r="C5" s="7" t="s">
        <v>55</v>
      </c>
      <c r="D5" s="7" t="s">
        <v>215</v>
      </c>
      <c r="E5" s="7" t="s">
        <v>67</v>
      </c>
      <c r="F5" s="7">
        <v>2022</v>
      </c>
      <c r="G5" t="s">
        <v>531</v>
      </c>
      <c r="H5" t="s">
        <v>101</v>
      </c>
      <c r="I5" t="s">
        <v>147</v>
      </c>
      <c r="J5" t="s">
        <v>147</v>
      </c>
    </row>
    <row r="6" spans="1:10">
      <c r="A6" s="7">
        <v>5</v>
      </c>
      <c r="B6" s="7" t="s">
        <v>213</v>
      </c>
      <c r="C6" s="7" t="s">
        <v>55</v>
      </c>
      <c r="D6" s="7" t="s">
        <v>216</v>
      </c>
      <c r="E6" s="7" t="s">
        <v>217</v>
      </c>
      <c r="F6" s="7">
        <v>2022</v>
      </c>
    </row>
    <row r="7" spans="1:10">
      <c r="A7" s="7">
        <v>6</v>
      </c>
      <c r="B7" s="7" t="s">
        <v>213</v>
      </c>
      <c r="C7" s="7" t="s">
        <v>55</v>
      </c>
      <c r="D7" s="7" t="s">
        <v>218</v>
      </c>
      <c r="E7" s="7" t="s">
        <v>219</v>
      </c>
      <c r="F7" s="7">
        <v>2022</v>
      </c>
    </row>
    <row r="8" spans="1:10">
      <c r="A8" s="7">
        <v>7</v>
      </c>
      <c r="B8" s="7" t="s">
        <v>213</v>
      </c>
      <c r="C8" s="7" t="s">
        <v>55</v>
      </c>
      <c r="D8" s="7" t="s">
        <v>220</v>
      </c>
      <c r="E8" s="7" t="s">
        <v>221</v>
      </c>
      <c r="F8" s="7">
        <v>2022</v>
      </c>
    </row>
    <row r="9" spans="1:10">
      <c r="A9" s="7">
        <v>8</v>
      </c>
      <c r="B9" s="7" t="s">
        <v>213</v>
      </c>
      <c r="C9" s="7" t="s">
        <v>55</v>
      </c>
      <c r="D9" s="7" t="s">
        <v>222</v>
      </c>
      <c r="E9" s="7" t="s">
        <v>223</v>
      </c>
      <c r="F9" s="7">
        <v>2022</v>
      </c>
    </row>
    <row r="10" spans="1:10">
      <c r="A10" s="7">
        <v>9</v>
      </c>
      <c r="B10" s="7" t="s">
        <v>213</v>
      </c>
      <c r="C10" s="7" t="s">
        <v>55</v>
      </c>
      <c r="D10" s="7" t="s">
        <v>224</v>
      </c>
      <c r="E10" s="7" t="s">
        <v>225</v>
      </c>
      <c r="F10" s="7">
        <v>2022</v>
      </c>
    </row>
    <row r="11" spans="1:10">
      <c r="A11" s="7">
        <v>10</v>
      </c>
      <c r="B11" s="7" t="s">
        <v>213</v>
      </c>
      <c r="C11" s="7" t="s">
        <v>55</v>
      </c>
      <c r="D11" s="7" t="s">
        <v>226</v>
      </c>
      <c r="E11" s="7" t="s">
        <v>227</v>
      </c>
      <c r="F11" s="7">
        <v>2022</v>
      </c>
    </row>
    <row r="12" spans="1:10">
      <c r="A12" s="7">
        <v>11</v>
      </c>
      <c r="B12" s="7" t="s">
        <v>213</v>
      </c>
      <c r="C12" s="7" t="s">
        <v>55</v>
      </c>
      <c r="D12" s="7" t="s">
        <v>228</v>
      </c>
      <c r="E12" s="7" t="s">
        <v>229</v>
      </c>
      <c r="F12" s="7">
        <v>2022</v>
      </c>
    </row>
    <row r="13" spans="1:10">
      <c r="A13" s="7">
        <v>12</v>
      </c>
      <c r="B13" s="7" t="s">
        <v>230</v>
      </c>
      <c r="C13" s="7" t="s">
        <v>58</v>
      </c>
      <c r="D13" s="7" t="s">
        <v>231</v>
      </c>
      <c r="E13" s="7" t="s">
        <v>58</v>
      </c>
      <c r="F13" s="7">
        <v>2022</v>
      </c>
      <c r="G13" t="s">
        <v>58</v>
      </c>
      <c r="H13" t="s">
        <v>532</v>
      </c>
      <c r="J13" t="s">
        <v>58</v>
      </c>
    </row>
    <row r="14" spans="1:10" ht="15.75">
      <c r="A14" s="7">
        <v>13</v>
      </c>
      <c r="B14" s="7" t="s">
        <v>230</v>
      </c>
      <c r="C14" s="7" t="s">
        <v>58</v>
      </c>
      <c r="D14" s="7" t="s">
        <v>232</v>
      </c>
      <c r="E14" s="7" t="s">
        <v>59</v>
      </c>
      <c r="F14" s="7">
        <v>2022</v>
      </c>
      <c r="G14" t="s">
        <v>59</v>
      </c>
      <c r="H14" t="s">
        <v>59</v>
      </c>
      <c r="J14" s="2" t="s">
        <v>156</v>
      </c>
    </row>
    <row r="15" spans="1:10" ht="15.75">
      <c r="A15" s="7">
        <v>14</v>
      </c>
      <c r="B15" s="7" t="s">
        <v>230</v>
      </c>
      <c r="C15" s="7" t="s">
        <v>58</v>
      </c>
      <c r="D15" s="7" t="s">
        <v>233</v>
      </c>
      <c r="E15" s="7" t="s">
        <v>60</v>
      </c>
      <c r="F15" s="7">
        <v>2022</v>
      </c>
      <c r="G15" t="s">
        <v>60</v>
      </c>
      <c r="H15" t="s">
        <v>60</v>
      </c>
      <c r="J15" s="2" t="s">
        <v>156</v>
      </c>
    </row>
    <row r="16" spans="1:10" ht="15.75">
      <c r="A16" s="7">
        <v>15</v>
      </c>
      <c r="B16" s="7" t="s">
        <v>230</v>
      </c>
      <c r="C16" s="7" t="s">
        <v>58</v>
      </c>
      <c r="D16" s="7" t="s">
        <v>234</v>
      </c>
      <c r="E16" s="7" t="s">
        <v>235</v>
      </c>
      <c r="F16" s="7">
        <v>2022</v>
      </c>
      <c r="J16" s="2" t="s">
        <v>156</v>
      </c>
    </row>
    <row r="17" spans="1:10">
      <c r="A17" s="7">
        <v>16</v>
      </c>
      <c r="B17" s="7" t="s">
        <v>230</v>
      </c>
      <c r="C17" s="7" t="s">
        <v>58</v>
      </c>
      <c r="D17" s="7" t="s">
        <v>236</v>
      </c>
      <c r="E17" s="7" t="s">
        <v>237</v>
      </c>
      <c r="F17" s="7">
        <v>2022</v>
      </c>
    </row>
    <row r="18" spans="1:10">
      <c r="A18" s="7">
        <v>17</v>
      </c>
      <c r="B18" s="7" t="s">
        <v>230</v>
      </c>
      <c r="C18" s="7" t="s">
        <v>58</v>
      </c>
      <c r="D18" s="7" t="s">
        <v>238</v>
      </c>
      <c r="E18" s="7" t="s">
        <v>239</v>
      </c>
      <c r="F18" s="7">
        <v>2022</v>
      </c>
    </row>
    <row r="19" spans="1:10">
      <c r="A19" s="7">
        <v>18</v>
      </c>
      <c r="B19" s="7" t="s">
        <v>230</v>
      </c>
      <c r="C19" s="7" t="s">
        <v>58</v>
      </c>
      <c r="D19" s="7" t="s">
        <v>240</v>
      </c>
      <c r="E19" s="7" t="s">
        <v>241</v>
      </c>
      <c r="F19" s="7">
        <v>2022</v>
      </c>
    </row>
    <row r="20" spans="1:10">
      <c r="A20" s="7">
        <v>19</v>
      </c>
      <c r="B20" s="7" t="s">
        <v>230</v>
      </c>
      <c r="C20" s="7" t="s">
        <v>58</v>
      </c>
      <c r="D20" s="7" t="s">
        <v>242</v>
      </c>
      <c r="E20" s="7" t="s">
        <v>243</v>
      </c>
      <c r="F20" s="7">
        <v>2022</v>
      </c>
    </row>
    <row r="21" spans="1:10">
      <c r="A21" s="7">
        <v>20</v>
      </c>
      <c r="B21" s="7" t="s">
        <v>230</v>
      </c>
      <c r="C21" s="7" t="s">
        <v>58</v>
      </c>
      <c r="D21" s="7" t="s">
        <v>244</v>
      </c>
      <c r="E21" s="7" t="s">
        <v>245</v>
      </c>
      <c r="F21" s="7">
        <v>2022</v>
      </c>
    </row>
    <row r="22" spans="1:10">
      <c r="A22" s="7">
        <v>21</v>
      </c>
      <c r="B22" s="7" t="s">
        <v>230</v>
      </c>
      <c r="C22" s="7" t="s">
        <v>58</v>
      </c>
      <c r="D22" s="7" t="s">
        <v>246</v>
      </c>
      <c r="E22" s="7" t="s">
        <v>247</v>
      </c>
      <c r="F22" s="7">
        <v>2022</v>
      </c>
    </row>
    <row r="23" spans="1:10">
      <c r="A23" s="7">
        <v>22</v>
      </c>
      <c r="B23" s="7" t="s">
        <v>230</v>
      </c>
      <c r="C23" s="7" t="s">
        <v>58</v>
      </c>
      <c r="D23" s="7" t="s">
        <v>248</v>
      </c>
      <c r="E23" s="7" t="s">
        <v>249</v>
      </c>
      <c r="F23" s="7">
        <v>2022</v>
      </c>
    </row>
    <row r="24" spans="1:10">
      <c r="A24" s="7">
        <v>23</v>
      </c>
      <c r="B24" s="7" t="s">
        <v>230</v>
      </c>
      <c r="C24" s="7" t="s">
        <v>58</v>
      </c>
      <c r="D24" s="7" t="s">
        <v>250</v>
      </c>
      <c r="E24" s="7" t="s">
        <v>251</v>
      </c>
      <c r="F24" s="7">
        <v>2022</v>
      </c>
    </row>
    <row r="25" spans="1:10">
      <c r="A25" s="7">
        <v>24</v>
      </c>
      <c r="B25" s="7" t="s">
        <v>230</v>
      </c>
      <c r="C25" s="7" t="s">
        <v>58</v>
      </c>
      <c r="D25" s="7" t="s">
        <v>252</v>
      </c>
      <c r="E25" s="7" t="s">
        <v>253</v>
      </c>
      <c r="F25" s="7">
        <v>2022</v>
      </c>
    </row>
    <row r="26" spans="1:10">
      <c r="A26" s="7">
        <v>25</v>
      </c>
      <c r="B26" s="7" t="s">
        <v>254</v>
      </c>
      <c r="C26" s="7" t="s">
        <v>61</v>
      </c>
      <c r="D26" s="7" t="s">
        <v>255</v>
      </c>
      <c r="E26" s="7" t="s">
        <v>61</v>
      </c>
      <c r="F26" s="7">
        <v>2022</v>
      </c>
      <c r="G26" t="s">
        <v>61</v>
      </c>
      <c r="H26" t="s">
        <v>102</v>
      </c>
      <c r="I26" t="s">
        <v>189</v>
      </c>
      <c r="J26" t="s">
        <v>61</v>
      </c>
    </row>
    <row r="27" spans="1:10">
      <c r="A27" s="7">
        <v>26</v>
      </c>
      <c r="B27" s="7" t="s">
        <v>254</v>
      </c>
      <c r="C27" s="7" t="s">
        <v>61</v>
      </c>
      <c r="D27" s="7" t="s">
        <v>256</v>
      </c>
      <c r="E27" s="7" t="s">
        <v>63</v>
      </c>
      <c r="F27" s="7">
        <v>2022</v>
      </c>
      <c r="G27" t="s">
        <v>63</v>
      </c>
      <c r="H27" t="s">
        <v>63</v>
      </c>
      <c r="I27" t="s">
        <v>188</v>
      </c>
      <c r="J27" t="s">
        <v>63</v>
      </c>
    </row>
    <row r="28" spans="1:10">
      <c r="A28" s="7">
        <v>27</v>
      </c>
      <c r="B28" s="7" t="s">
        <v>254</v>
      </c>
      <c r="C28" s="7" t="s">
        <v>61</v>
      </c>
      <c r="D28" s="7" t="s">
        <v>257</v>
      </c>
      <c r="E28" s="7" t="s">
        <v>130</v>
      </c>
      <c r="F28" s="7">
        <v>2022</v>
      </c>
      <c r="H28" t="s">
        <v>129</v>
      </c>
    </row>
    <row r="29" spans="1:10">
      <c r="A29" s="7">
        <v>28</v>
      </c>
      <c r="B29" s="7" t="s">
        <v>254</v>
      </c>
      <c r="C29" s="7" t="s">
        <v>61</v>
      </c>
      <c r="D29" s="7" t="s">
        <v>258</v>
      </c>
      <c r="E29" s="7" t="s">
        <v>259</v>
      </c>
      <c r="F29" s="7">
        <v>2022</v>
      </c>
      <c r="J29" t="s">
        <v>61</v>
      </c>
    </row>
    <row r="30" spans="1:10">
      <c r="A30" s="7">
        <v>29</v>
      </c>
      <c r="B30" s="7" t="s">
        <v>254</v>
      </c>
      <c r="C30" s="7" t="s">
        <v>61</v>
      </c>
      <c r="D30" s="7" t="s">
        <v>260</v>
      </c>
      <c r="E30" s="7" t="s">
        <v>261</v>
      </c>
      <c r="F30" s="7">
        <v>2022</v>
      </c>
    </row>
    <row r="31" spans="1:10">
      <c r="A31" s="7">
        <v>30</v>
      </c>
      <c r="B31" s="7" t="s">
        <v>254</v>
      </c>
      <c r="C31" s="7" t="s">
        <v>61</v>
      </c>
      <c r="D31" s="7" t="s">
        <v>262</v>
      </c>
      <c r="E31" s="7" t="s">
        <v>263</v>
      </c>
      <c r="F31" s="7">
        <v>2022</v>
      </c>
    </row>
    <row r="32" spans="1:10">
      <c r="A32" s="7">
        <v>31</v>
      </c>
      <c r="B32" s="7" t="s">
        <v>254</v>
      </c>
      <c r="C32" s="7" t="s">
        <v>61</v>
      </c>
      <c r="D32" s="7" t="s">
        <v>264</v>
      </c>
      <c r="E32" s="7" t="s">
        <v>265</v>
      </c>
      <c r="F32" s="7">
        <v>2022</v>
      </c>
      <c r="J32" t="s">
        <v>63</v>
      </c>
    </row>
    <row r="33" spans="1:10">
      <c r="A33" s="7">
        <v>32</v>
      </c>
      <c r="B33" s="7" t="s">
        <v>266</v>
      </c>
      <c r="C33" s="7" t="s">
        <v>267</v>
      </c>
      <c r="D33" s="7" t="s">
        <v>268</v>
      </c>
      <c r="E33" s="7" t="s">
        <v>269</v>
      </c>
      <c r="F33" s="7">
        <v>2022</v>
      </c>
      <c r="I33" t="s">
        <v>144</v>
      </c>
      <c r="J33" t="s">
        <v>144</v>
      </c>
    </row>
    <row r="34" spans="1:10">
      <c r="A34" s="7">
        <v>33</v>
      </c>
      <c r="B34" s="7" t="s">
        <v>266</v>
      </c>
      <c r="C34" s="7" t="s">
        <v>267</v>
      </c>
      <c r="D34" s="7" t="s">
        <v>270</v>
      </c>
      <c r="E34" s="7" t="s">
        <v>109</v>
      </c>
      <c r="F34" s="7">
        <v>2022</v>
      </c>
      <c r="H34" t="s">
        <v>533</v>
      </c>
      <c r="I34" t="s">
        <v>144</v>
      </c>
      <c r="J34" t="s">
        <v>144</v>
      </c>
    </row>
    <row r="35" spans="1:10" ht="15.75">
      <c r="A35" s="7">
        <v>34</v>
      </c>
      <c r="B35" s="7" t="s">
        <v>266</v>
      </c>
      <c r="C35" s="7" t="s">
        <v>267</v>
      </c>
      <c r="D35" s="7" t="s">
        <v>271</v>
      </c>
      <c r="E35" s="7" t="s">
        <v>62</v>
      </c>
      <c r="F35" s="7">
        <v>2022</v>
      </c>
      <c r="G35" t="s">
        <v>62</v>
      </c>
      <c r="H35" t="s">
        <v>93</v>
      </c>
      <c r="J35" s="2" t="s">
        <v>156</v>
      </c>
    </row>
    <row r="36" spans="1:10">
      <c r="A36" s="7">
        <v>35</v>
      </c>
      <c r="B36" s="7" t="s">
        <v>266</v>
      </c>
      <c r="C36" s="7" t="s">
        <v>267</v>
      </c>
      <c r="D36" s="7" t="s">
        <v>272</v>
      </c>
      <c r="E36" s="7" t="s">
        <v>273</v>
      </c>
      <c r="F36" s="7">
        <v>2022</v>
      </c>
    </row>
    <row r="37" spans="1:10">
      <c r="A37" s="7">
        <v>36</v>
      </c>
      <c r="B37" s="7" t="s">
        <v>266</v>
      </c>
      <c r="C37" s="7" t="s">
        <v>267</v>
      </c>
      <c r="D37" s="7" t="s">
        <v>274</v>
      </c>
      <c r="E37" s="7" t="s">
        <v>275</v>
      </c>
      <c r="F37" s="7">
        <v>2022</v>
      </c>
    </row>
    <row r="38" spans="1:10">
      <c r="A38" s="7">
        <v>37</v>
      </c>
      <c r="B38" s="7" t="s">
        <v>266</v>
      </c>
      <c r="C38" s="7" t="s">
        <v>267</v>
      </c>
      <c r="D38" s="7" t="s">
        <v>276</v>
      </c>
      <c r="E38" s="7" t="s">
        <v>277</v>
      </c>
      <c r="F38" s="7">
        <v>2022</v>
      </c>
    </row>
    <row r="39" spans="1:10">
      <c r="A39" s="7">
        <v>38</v>
      </c>
      <c r="B39" s="7" t="s">
        <v>278</v>
      </c>
      <c r="C39" s="7" t="s">
        <v>111</v>
      </c>
      <c r="D39" s="7" t="s">
        <v>279</v>
      </c>
      <c r="E39" s="7" t="s">
        <v>85</v>
      </c>
      <c r="F39" s="7">
        <v>2022</v>
      </c>
      <c r="H39" t="s">
        <v>85</v>
      </c>
      <c r="J39" t="s">
        <v>144</v>
      </c>
    </row>
    <row r="40" spans="1:10">
      <c r="A40" s="7">
        <v>39</v>
      </c>
      <c r="B40" s="7" t="s">
        <v>278</v>
      </c>
      <c r="C40" s="7" t="s">
        <v>111</v>
      </c>
      <c r="D40" s="7" t="s">
        <v>280</v>
      </c>
      <c r="E40" s="7" t="s">
        <v>281</v>
      </c>
      <c r="F40" s="7">
        <v>2022</v>
      </c>
      <c r="J40" t="s">
        <v>144</v>
      </c>
    </row>
    <row r="41" spans="1:10">
      <c r="A41" s="7">
        <v>40</v>
      </c>
      <c r="B41" s="7" t="s">
        <v>278</v>
      </c>
      <c r="C41" s="7" t="s">
        <v>111</v>
      </c>
      <c r="D41" s="7" t="s">
        <v>282</v>
      </c>
      <c r="E41" s="7" t="s">
        <v>283</v>
      </c>
      <c r="F41" s="7">
        <v>2022</v>
      </c>
      <c r="J41" t="s">
        <v>144</v>
      </c>
    </row>
    <row r="42" spans="1:10">
      <c r="A42" s="7">
        <v>41</v>
      </c>
      <c r="B42" s="7" t="s">
        <v>278</v>
      </c>
      <c r="C42" s="7" t="s">
        <v>111</v>
      </c>
      <c r="D42" s="7" t="s">
        <v>284</v>
      </c>
      <c r="E42" s="7" t="s">
        <v>285</v>
      </c>
      <c r="F42" s="7">
        <v>2022</v>
      </c>
    </row>
    <row r="43" spans="1:10">
      <c r="A43" s="7">
        <v>42</v>
      </c>
      <c r="B43" s="7" t="s">
        <v>286</v>
      </c>
      <c r="C43" s="7" t="s">
        <v>287</v>
      </c>
      <c r="D43" s="7" t="s">
        <v>288</v>
      </c>
      <c r="E43" s="7" t="s">
        <v>3</v>
      </c>
      <c r="F43" s="7">
        <v>2022</v>
      </c>
      <c r="G43" t="s">
        <v>3</v>
      </c>
      <c r="H43" t="s">
        <v>3</v>
      </c>
      <c r="I43" t="s">
        <v>3</v>
      </c>
      <c r="J43" t="s">
        <v>5</v>
      </c>
    </row>
    <row r="44" spans="1:10" ht="28.5">
      <c r="A44" s="7">
        <v>43</v>
      </c>
      <c r="B44" s="7" t="s">
        <v>286</v>
      </c>
      <c r="C44" s="7" t="s">
        <v>287</v>
      </c>
      <c r="D44" s="7" t="s">
        <v>289</v>
      </c>
      <c r="E44" s="7" t="s">
        <v>5</v>
      </c>
      <c r="F44" s="7">
        <v>2022</v>
      </c>
      <c r="G44" t="s">
        <v>5</v>
      </c>
      <c r="H44" t="s">
        <v>126</v>
      </c>
      <c r="I44" s="14" t="s">
        <v>553</v>
      </c>
      <c r="J44" t="s">
        <v>5</v>
      </c>
    </row>
    <row r="45" spans="1:10" ht="42.75">
      <c r="A45" s="7">
        <v>44</v>
      </c>
      <c r="B45" s="7" t="s">
        <v>286</v>
      </c>
      <c r="C45" s="7" t="s">
        <v>287</v>
      </c>
      <c r="D45" s="7" t="s">
        <v>290</v>
      </c>
      <c r="E45" s="7" t="s">
        <v>6</v>
      </c>
      <c r="F45" s="7">
        <v>2022</v>
      </c>
      <c r="G45" t="s">
        <v>6</v>
      </c>
      <c r="H45" t="s">
        <v>534</v>
      </c>
      <c r="I45" s="14" t="s">
        <v>551</v>
      </c>
      <c r="J45" t="s">
        <v>5</v>
      </c>
    </row>
    <row r="46" spans="1:10">
      <c r="A46" s="7">
        <v>45</v>
      </c>
      <c r="B46" s="7" t="s">
        <v>286</v>
      </c>
      <c r="C46" s="7" t="s">
        <v>287</v>
      </c>
      <c r="D46" s="7" t="s">
        <v>291</v>
      </c>
      <c r="E46" s="7" t="s">
        <v>187</v>
      </c>
      <c r="F46" s="7">
        <v>2022</v>
      </c>
      <c r="I46" t="s">
        <v>186</v>
      </c>
      <c r="J46" t="s">
        <v>5</v>
      </c>
    </row>
    <row r="47" spans="1:10">
      <c r="A47" s="7">
        <v>46</v>
      </c>
      <c r="B47" s="7" t="s">
        <v>286</v>
      </c>
      <c r="C47" s="7" t="s">
        <v>287</v>
      </c>
      <c r="D47" s="7" t="s">
        <v>292</v>
      </c>
      <c r="E47" s="7" t="s">
        <v>9</v>
      </c>
      <c r="F47" s="7">
        <v>2022</v>
      </c>
      <c r="G47" t="s">
        <v>9</v>
      </c>
      <c r="H47" t="s">
        <v>9</v>
      </c>
      <c r="J47" t="s">
        <v>5</v>
      </c>
    </row>
    <row r="48" spans="1:10">
      <c r="A48" s="7">
        <v>47</v>
      </c>
      <c r="B48" s="7" t="s">
        <v>286</v>
      </c>
      <c r="C48" s="7" t="s">
        <v>287</v>
      </c>
      <c r="D48" s="7" t="s">
        <v>293</v>
      </c>
      <c r="E48" s="7" t="s">
        <v>76</v>
      </c>
      <c r="F48" s="7">
        <v>2022</v>
      </c>
      <c r="G48" t="s">
        <v>76</v>
      </c>
      <c r="I48" t="s">
        <v>177</v>
      </c>
      <c r="J48" t="s">
        <v>5</v>
      </c>
    </row>
    <row r="49" spans="1:10">
      <c r="A49" s="7">
        <v>48</v>
      </c>
      <c r="B49" s="7" t="s">
        <v>286</v>
      </c>
      <c r="C49" s="7" t="s">
        <v>287</v>
      </c>
      <c r="D49" s="7" t="s">
        <v>294</v>
      </c>
      <c r="E49" s="7" t="s">
        <v>75</v>
      </c>
      <c r="F49" s="7">
        <v>2022</v>
      </c>
      <c r="G49" t="s">
        <v>75</v>
      </c>
      <c r="H49" t="s">
        <v>99</v>
      </c>
      <c r="I49" t="s">
        <v>192</v>
      </c>
      <c r="J49" t="s">
        <v>5</v>
      </c>
    </row>
    <row r="50" spans="1:10">
      <c r="A50" s="7">
        <v>49</v>
      </c>
      <c r="B50" s="7" t="s">
        <v>286</v>
      </c>
      <c r="C50" s="7" t="s">
        <v>287</v>
      </c>
      <c r="D50" s="7" t="s">
        <v>295</v>
      </c>
      <c r="E50" s="7" t="s">
        <v>138</v>
      </c>
      <c r="F50" s="7">
        <v>2022</v>
      </c>
      <c r="G50" s="8" t="s">
        <v>7</v>
      </c>
      <c r="H50" t="s">
        <v>138</v>
      </c>
      <c r="I50" t="s">
        <v>7</v>
      </c>
      <c r="J50" t="s">
        <v>5</v>
      </c>
    </row>
    <row r="51" spans="1:10">
      <c r="A51" s="7">
        <v>50</v>
      </c>
      <c r="B51" s="7" t="s">
        <v>286</v>
      </c>
      <c r="C51" s="7" t="s">
        <v>287</v>
      </c>
      <c r="D51" s="7" t="s">
        <v>296</v>
      </c>
      <c r="E51" s="7" t="s">
        <v>137</v>
      </c>
      <c r="F51" s="7">
        <v>2022</v>
      </c>
      <c r="G51" s="8" t="s">
        <v>7</v>
      </c>
      <c r="H51" t="s">
        <v>137</v>
      </c>
      <c r="I51" t="s">
        <v>7</v>
      </c>
      <c r="J51" t="s">
        <v>535</v>
      </c>
    </row>
    <row r="52" spans="1:10" ht="85.5">
      <c r="A52" s="7">
        <v>51</v>
      </c>
      <c r="B52" s="7" t="s">
        <v>286</v>
      </c>
      <c r="C52" s="7" t="s">
        <v>287</v>
      </c>
      <c r="D52" s="7" t="s">
        <v>297</v>
      </c>
      <c r="E52" s="7" t="s">
        <v>43</v>
      </c>
      <c r="F52" s="7">
        <v>2022</v>
      </c>
      <c r="G52" t="s">
        <v>43</v>
      </c>
      <c r="H52" t="s">
        <v>89</v>
      </c>
      <c r="I52" s="14" t="s">
        <v>543</v>
      </c>
      <c r="J52" t="s">
        <v>5</v>
      </c>
    </row>
    <row r="53" spans="1:10">
      <c r="A53" s="7">
        <v>52</v>
      </c>
      <c r="B53" s="7" t="s">
        <v>286</v>
      </c>
      <c r="C53" s="7" t="s">
        <v>287</v>
      </c>
      <c r="D53" s="7" t="s">
        <v>298</v>
      </c>
      <c r="E53" s="7" t="s">
        <v>299</v>
      </c>
      <c r="F53" s="7">
        <v>2022</v>
      </c>
    </row>
    <row r="54" spans="1:10">
      <c r="A54" s="7">
        <v>53</v>
      </c>
      <c r="B54" s="7" t="s">
        <v>286</v>
      </c>
      <c r="C54" s="7" t="s">
        <v>287</v>
      </c>
      <c r="D54" s="7" t="s">
        <v>300</v>
      </c>
      <c r="E54" s="7" t="s">
        <v>301</v>
      </c>
      <c r="F54" s="7">
        <v>2022</v>
      </c>
    </row>
    <row r="55" spans="1:10">
      <c r="A55" s="7">
        <v>54</v>
      </c>
      <c r="B55" s="7" t="s">
        <v>286</v>
      </c>
      <c r="C55" s="7" t="s">
        <v>287</v>
      </c>
      <c r="D55" s="7" t="s">
        <v>302</v>
      </c>
      <c r="E55" s="7" t="s">
        <v>10</v>
      </c>
      <c r="F55" s="7">
        <v>2022</v>
      </c>
      <c r="G55" t="s">
        <v>10</v>
      </c>
      <c r="I55" t="s">
        <v>10</v>
      </c>
      <c r="J55" t="s">
        <v>154</v>
      </c>
    </row>
    <row r="56" spans="1:10">
      <c r="A56" s="7">
        <v>55</v>
      </c>
      <c r="B56" s="7" t="s">
        <v>286</v>
      </c>
      <c r="C56" s="7" t="s">
        <v>287</v>
      </c>
      <c r="D56" s="7" t="s">
        <v>303</v>
      </c>
      <c r="E56" s="7" t="s">
        <v>57</v>
      </c>
      <c r="F56" s="7">
        <v>2022</v>
      </c>
      <c r="G56" t="s">
        <v>57</v>
      </c>
    </row>
    <row r="57" spans="1:10">
      <c r="A57" s="7">
        <v>56</v>
      </c>
      <c r="B57" s="7" t="s">
        <v>286</v>
      </c>
      <c r="C57" s="7" t="s">
        <v>287</v>
      </c>
      <c r="D57" s="7" t="s">
        <v>304</v>
      </c>
      <c r="E57" s="7" t="s">
        <v>305</v>
      </c>
      <c r="F57" s="7">
        <v>2022</v>
      </c>
    </row>
    <row r="58" spans="1:10">
      <c r="A58" s="7">
        <v>57</v>
      </c>
      <c r="B58" s="7" t="s">
        <v>306</v>
      </c>
      <c r="C58" s="7" t="s">
        <v>307</v>
      </c>
      <c r="D58" s="7" t="s">
        <v>308</v>
      </c>
      <c r="E58" s="7" t="s">
        <v>309</v>
      </c>
      <c r="F58" s="7">
        <v>2022</v>
      </c>
      <c r="J58" t="s">
        <v>152</v>
      </c>
    </row>
    <row r="59" spans="1:10">
      <c r="A59" s="7">
        <v>58</v>
      </c>
      <c r="B59" s="7" t="s">
        <v>306</v>
      </c>
      <c r="C59" s="7" t="s">
        <v>307</v>
      </c>
      <c r="D59" s="7" t="s">
        <v>310</v>
      </c>
      <c r="E59" s="7" t="s">
        <v>11</v>
      </c>
      <c r="F59" s="7">
        <v>2022</v>
      </c>
      <c r="G59" t="s">
        <v>11</v>
      </c>
      <c r="H59" t="s">
        <v>11</v>
      </c>
      <c r="I59" t="s">
        <v>11</v>
      </c>
      <c r="J59" t="s">
        <v>152</v>
      </c>
    </row>
    <row r="60" spans="1:10">
      <c r="A60" s="7">
        <v>59</v>
      </c>
      <c r="B60" s="7" t="s">
        <v>306</v>
      </c>
      <c r="C60" s="7" t="s">
        <v>307</v>
      </c>
      <c r="D60" s="7" t="s">
        <v>311</v>
      </c>
      <c r="E60" s="7" t="s">
        <v>194</v>
      </c>
      <c r="F60" s="7">
        <v>2022</v>
      </c>
      <c r="I60" t="s">
        <v>193</v>
      </c>
      <c r="J60" t="s">
        <v>152</v>
      </c>
    </row>
    <row r="61" spans="1:10">
      <c r="A61" s="7">
        <v>60</v>
      </c>
      <c r="B61" s="7" t="s">
        <v>306</v>
      </c>
      <c r="C61" s="7" t="s">
        <v>307</v>
      </c>
      <c r="D61" s="7" t="s">
        <v>312</v>
      </c>
      <c r="E61" s="7" t="s">
        <v>18</v>
      </c>
      <c r="F61" s="7">
        <v>2022</v>
      </c>
      <c r="G61" t="s">
        <v>17</v>
      </c>
      <c r="J61" t="s">
        <v>152</v>
      </c>
    </row>
    <row r="62" spans="1:10">
      <c r="A62" s="7">
        <v>61</v>
      </c>
      <c r="B62" s="7" t="s">
        <v>306</v>
      </c>
      <c r="C62" s="7" t="s">
        <v>307</v>
      </c>
      <c r="D62" s="7" t="s">
        <v>313</v>
      </c>
      <c r="E62" s="7" t="s">
        <v>25</v>
      </c>
      <c r="F62" s="7">
        <v>2022</v>
      </c>
      <c r="G62" t="s">
        <v>25</v>
      </c>
      <c r="H62" t="s">
        <v>118</v>
      </c>
      <c r="I62" t="s">
        <v>549</v>
      </c>
      <c r="J62" t="s">
        <v>152</v>
      </c>
    </row>
    <row r="63" spans="1:10">
      <c r="A63" s="7">
        <v>62</v>
      </c>
      <c r="B63" s="7" t="s">
        <v>306</v>
      </c>
      <c r="C63" s="7" t="s">
        <v>307</v>
      </c>
      <c r="D63" s="7" t="s">
        <v>314</v>
      </c>
      <c r="E63" s="7" t="s">
        <v>42</v>
      </c>
      <c r="F63" s="7">
        <v>2022</v>
      </c>
      <c r="G63" t="s">
        <v>42</v>
      </c>
      <c r="J63" t="s">
        <v>152</v>
      </c>
    </row>
    <row r="64" spans="1:10">
      <c r="A64" s="7">
        <v>63</v>
      </c>
      <c r="B64" s="7" t="s">
        <v>306</v>
      </c>
      <c r="C64" s="7" t="s">
        <v>307</v>
      </c>
      <c r="D64" s="7" t="s">
        <v>315</v>
      </c>
      <c r="E64" s="7" t="s">
        <v>29</v>
      </c>
      <c r="F64" s="7">
        <v>2022</v>
      </c>
      <c r="G64" t="s">
        <v>28</v>
      </c>
      <c r="I64" t="s">
        <v>181</v>
      </c>
      <c r="J64" t="s">
        <v>152</v>
      </c>
    </row>
    <row r="65" spans="1:10" ht="15.75">
      <c r="A65" s="7">
        <v>64</v>
      </c>
      <c r="B65" s="7" t="s">
        <v>306</v>
      </c>
      <c r="C65" s="7" t="s">
        <v>307</v>
      </c>
      <c r="D65" s="7" t="s">
        <v>316</v>
      </c>
      <c r="E65" s="7" t="s">
        <v>317</v>
      </c>
      <c r="F65" s="7">
        <v>2022</v>
      </c>
      <c r="G65" s="12" t="s">
        <v>12</v>
      </c>
      <c r="H65" t="s">
        <v>103</v>
      </c>
      <c r="I65" t="s">
        <v>200</v>
      </c>
      <c r="J65" t="s">
        <v>152</v>
      </c>
    </row>
    <row r="66" spans="1:10" ht="15.75">
      <c r="A66" s="7">
        <v>65</v>
      </c>
      <c r="B66" s="7" t="s">
        <v>306</v>
      </c>
      <c r="C66" s="7" t="s">
        <v>307</v>
      </c>
      <c r="D66" s="7" t="s">
        <v>318</v>
      </c>
      <c r="E66" s="7" t="s">
        <v>319</v>
      </c>
      <c r="F66" s="7">
        <v>2022</v>
      </c>
      <c r="G66" s="12" t="s">
        <v>12</v>
      </c>
      <c r="I66" t="s">
        <v>200</v>
      </c>
      <c r="J66" t="s">
        <v>152</v>
      </c>
    </row>
    <row r="67" spans="1:10">
      <c r="A67" s="7">
        <v>66</v>
      </c>
      <c r="B67" s="7" t="s">
        <v>306</v>
      </c>
      <c r="C67" s="7" t="s">
        <v>307</v>
      </c>
      <c r="D67" s="7" t="s">
        <v>320</v>
      </c>
      <c r="E67" s="7" t="s">
        <v>16</v>
      </c>
      <c r="F67" s="7">
        <v>2022</v>
      </c>
      <c r="G67" t="s">
        <v>15</v>
      </c>
      <c r="H67" t="s">
        <v>103</v>
      </c>
      <c r="J67" t="s">
        <v>152</v>
      </c>
    </row>
    <row r="68" spans="1:10">
      <c r="A68" s="7">
        <v>67</v>
      </c>
      <c r="B68" s="7" t="s">
        <v>306</v>
      </c>
      <c r="C68" s="7" t="s">
        <v>307</v>
      </c>
      <c r="D68" s="7" t="s">
        <v>321</v>
      </c>
      <c r="E68" s="7" t="s">
        <v>14</v>
      </c>
      <c r="F68" s="7">
        <v>2022</v>
      </c>
      <c r="G68" t="s">
        <v>14</v>
      </c>
      <c r="H68" t="s">
        <v>143</v>
      </c>
      <c r="J68" t="s">
        <v>152</v>
      </c>
    </row>
    <row r="69" spans="1:10" ht="15.75">
      <c r="A69" s="7">
        <v>68</v>
      </c>
      <c r="B69" s="7" t="s">
        <v>306</v>
      </c>
      <c r="C69" s="7" t="s">
        <v>307</v>
      </c>
      <c r="D69" s="7" t="s">
        <v>322</v>
      </c>
      <c r="E69" s="7" t="s">
        <v>176</v>
      </c>
      <c r="F69" s="7">
        <v>2022</v>
      </c>
      <c r="G69" s="12" t="s">
        <v>20</v>
      </c>
      <c r="H69" t="s">
        <v>94</v>
      </c>
      <c r="I69" t="s">
        <v>175</v>
      </c>
      <c r="J69" t="s">
        <v>151</v>
      </c>
    </row>
    <row r="70" spans="1:10">
      <c r="A70" s="7">
        <v>69</v>
      </c>
      <c r="B70" s="7" t="s">
        <v>306</v>
      </c>
      <c r="C70" s="7" t="s">
        <v>307</v>
      </c>
      <c r="D70" s="7" t="s">
        <v>323</v>
      </c>
      <c r="E70" s="7" t="s">
        <v>86</v>
      </c>
      <c r="F70" s="7">
        <v>2022</v>
      </c>
      <c r="H70" t="s">
        <v>86</v>
      </c>
      <c r="I70" t="s">
        <v>144</v>
      </c>
      <c r="J70" t="s">
        <v>144</v>
      </c>
    </row>
    <row r="71" spans="1:10">
      <c r="A71" s="7">
        <v>70</v>
      </c>
      <c r="B71" s="7" t="s">
        <v>306</v>
      </c>
      <c r="C71" s="7" t="s">
        <v>307</v>
      </c>
      <c r="D71" s="7" t="s">
        <v>324</v>
      </c>
      <c r="E71" s="7" t="s">
        <v>22</v>
      </c>
      <c r="F71" s="7">
        <v>2022</v>
      </c>
      <c r="G71" t="s">
        <v>22</v>
      </c>
      <c r="H71" t="s">
        <v>22</v>
      </c>
      <c r="I71" t="s">
        <v>22</v>
      </c>
      <c r="J71" t="s">
        <v>152</v>
      </c>
    </row>
    <row r="72" spans="1:10">
      <c r="A72" s="7">
        <v>71</v>
      </c>
      <c r="B72" s="7" t="s">
        <v>306</v>
      </c>
      <c r="C72" s="7" t="s">
        <v>307</v>
      </c>
      <c r="D72" s="7" t="s">
        <v>325</v>
      </c>
      <c r="E72" s="7" t="s">
        <v>32</v>
      </c>
      <c r="F72" s="7">
        <v>2022</v>
      </c>
      <c r="G72" t="s">
        <v>31</v>
      </c>
      <c r="I72" t="s">
        <v>169</v>
      </c>
      <c r="J72" t="s">
        <v>152</v>
      </c>
    </row>
    <row r="73" spans="1:10">
      <c r="A73" s="7">
        <v>72</v>
      </c>
      <c r="B73" s="7" t="s">
        <v>306</v>
      </c>
      <c r="C73" s="7" t="s">
        <v>307</v>
      </c>
      <c r="D73" s="7" t="s">
        <v>326</v>
      </c>
      <c r="E73" s="7" t="s">
        <v>327</v>
      </c>
      <c r="F73" s="7">
        <v>2022</v>
      </c>
      <c r="J73" t="s">
        <v>152</v>
      </c>
    </row>
    <row r="74" spans="1:10">
      <c r="A74" s="7">
        <v>73</v>
      </c>
      <c r="B74" s="7" t="s">
        <v>306</v>
      </c>
      <c r="C74" s="7" t="s">
        <v>307</v>
      </c>
      <c r="D74" s="7" t="s">
        <v>328</v>
      </c>
      <c r="E74" s="7" t="s">
        <v>24</v>
      </c>
      <c r="F74" s="7">
        <v>2022</v>
      </c>
      <c r="G74" t="s">
        <v>23</v>
      </c>
      <c r="H74" t="s">
        <v>23</v>
      </c>
      <c r="I74" t="s">
        <v>23</v>
      </c>
      <c r="J74" t="s">
        <v>152</v>
      </c>
    </row>
    <row r="75" spans="1:10">
      <c r="A75" s="7">
        <v>74</v>
      </c>
      <c r="B75" s="7" t="s">
        <v>306</v>
      </c>
      <c r="C75" s="7" t="s">
        <v>307</v>
      </c>
      <c r="D75" s="7" t="s">
        <v>329</v>
      </c>
      <c r="E75" s="7" t="s">
        <v>330</v>
      </c>
      <c r="F75" s="7">
        <v>2022</v>
      </c>
      <c r="H75" t="s">
        <v>137</v>
      </c>
      <c r="J75" t="s">
        <v>152</v>
      </c>
    </row>
    <row r="76" spans="1:10">
      <c r="A76" s="7">
        <v>75</v>
      </c>
      <c r="B76" s="7" t="s">
        <v>306</v>
      </c>
      <c r="C76" s="7" t="s">
        <v>307</v>
      </c>
      <c r="D76" s="7" t="s">
        <v>331</v>
      </c>
      <c r="E76" s="7" t="s">
        <v>41</v>
      </c>
      <c r="F76" s="7">
        <v>2022</v>
      </c>
      <c r="G76" t="s">
        <v>41</v>
      </c>
      <c r="H76" t="s">
        <v>107</v>
      </c>
      <c r="J76" t="s">
        <v>152</v>
      </c>
    </row>
    <row r="77" spans="1:10">
      <c r="A77" s="7">
        <v>76</v>
      </c>
      <c r="B77" s="7" t="s">
        <v>306</v>
      </c>
      <c r="C77" s="7" t="s">
        <v>307</v>
      </c>
      <c r="D77" s="7" t="s">
        <v>332</v>
      </c>
      <c r="E77" s="7" t="s">
        <v>136</v>
      </c>
      <c r="F77" s="7">
        <v>2022</v>
      </c>
      <c r="H77" t="s">
        <v>135</v>
      </c>
      <c r="J77" t="s">
        <v>152</v>
      </c>
    </row>
    <row r="78" spans="1:10">
      <c r="A78" s="7">
        <v>77</v>
      </c>
      <c r="B78" s="7" t="s">
        <v>306</v>
      </c>
      <c r="C78" s="7" t="s">
        <v>307</v>
      </c>
      <c r="D78" s="7" t="s">
        <v>333</v>
      </c>
      <c r="E78" s="7" t="s">
        <v>77</v>
      </c>
      <c r="F78" s="7">
        <v>2022</v>
      </c>
      <c r="G78" t="s">
        <v>77</v>
      </c>
      <c r="J78" t="s">
        <v>152</v>
      </c>
    </row>
    <row r="79" spans="1:10">
      <c r="A79" s="7">
        <v>78</v>
      </c>
      <c r="B79" s="7" t="s">
        <v>306</v>
      </c>
      <c r="C79" s="7" t="s">
        <v>307</v>
      </c>
      <c r="D79" s="7" t="s">
        <v>334</v>
      </c>
      <c r="E79" s="7" t="s">
        <v>335</v>
      </c>
      <c r="F79" s="7">
        <v>2022</v>
      </c>
      <c r="J79" t="s">
        <v>152</v>
      </c>
    </row>
    <row r="80" spans="1:10">
      <c r="A80" s="7">
        <v>79</v>
      </c>
      <c r="B80" s="7" t="s">
        <v>306</v>
      </c>
      <c r="C80" s="7" t="s">
        <v>307</v>
      </c>
      <c r="D80" s="7" t="s">
        <v>336</v>
      </c>
      <c r="E80" s="7" t="s">
        <v>38</v>
      </c>
      <c r="F80" s="7">
        <v>2022</v>
      </c>
      <c r="G80" t="s">
        <v>38</v>
      </c>
      <c r="J80" t="s">
        <v>152</v>
      </c>
    </row>
    <row r="81" spans="1:10">
      <c r="A81" s="7">
        <v>80</v>
      </c>
      <c r="B81" s="7" t="s">
        <v>306</v>
      </c>
      <c r="C81" s="7" t="s">
        <v>307</v>
      </c>
      <c r="D81" s="7" t="s">
        <v>337</v>
      </c>
      <c r="E81" s="7" t="s">
        <v>37</v>
      </c>
      <c r="F81" s="7">
        <v>2022</v>
      </c>
      <c r="G81" t="s">
        <v>37</v>
      </c>
      <c r="J81" t="s">
        <v>152</v>
      </c>
    </row>
    <row r="82" spans="1:10">
      <c r="A82" s="7">
        <v>81</v>
      </c>
      <c r="B82" s="7" t="s">
        <v>306</v>
      </c>
      <c r="C82" s="7" t="s">
        <v>307</v>
      </c>
      <c r="D82" s="7" t="s">
        <v>338</v>
      </c>
      <c r="E82" s="7" t="s">
        <v>36</v>
      </c>
      <c r="F82" s="7">
        <v>2022</v>
      </c>
      <c r="G82" t="s">
        <v>35</v>
      </c>
      <c r="J82" t="s">
        <v>152</v>
      </c>
    </row>
    <row r="83" spans="1:10">
      <c r="A83" s="7">
        <v>82</v>
      </c>
      <c r="B83" s="7" t="s">
        <v>306</v>
      </c>
      <c r="C83" s="7" t="s">
        <v>307</v>
      </c>
      <c r="D83" s="7" t="s">
        <v>339</v>
      </c>
      <c r="E83" s="7" t="s">
        <v>340</v>
      </c>
      <c r="F83" s="7">
        <v>2022</v>
      </c>
    </row>
    <row r="84" spans="1:10">
      <c r="A84" s="7">
        <v>83</v>
      </c>
      <c r="B84" s="7" t="s">
        <v>306</v>
      </c>
      <c r="C84" s="7" t="s">
        <v>307</v>
      </c>
      <c r="D84" s="7" t="s">
        <v>341</v>
      </c>
      <c r="E84" s="7" t="s">
        <v>342</v>
      </c>
      <c r="F84" s="7">
        <v>2022</v>
      </c>
    </row>
    <row r="85" spans="1:10">
      <c r="A85" s="7">
        <v>84</v>
      </c>
      <c r="B85" s="7" t="s">
        <v>306</v>
      </c>
      <c r="C85" s="7" t="s">
        <v>307</v>
      </c>
      <c r="D85" s="7" t="s">
        <v>343</v>
      </c>
      <c r="E85" s="7" t="s">
        <v>344</v>
      </c>
      <c r="F85" s="7">
        <v>2022</v>
      </c>
      <c r="J85" t="s">
        <v>152</v>
      </c>
    </row>
    <row r="86" spans="1:10">
      <c r="A86" s="7">
        <v>85</v>
      </c>
      <c r="B86" s="7" t="s">
        <v>306</v>
      </c>
      <c r="C86" s="7" t="s">
        <v>307</v>
      </c>
      <c r="D86" s="7" t="s">
        <v>345</v>
      </c>
      <c r="E86" s="7" t="s">
        <v>346</v>
      </c>
      <c r="F86" s="7">
        <v>2022</v>
      </c>
      <c r="J86" t="s">
        <v>152</v>
      </c>
    </row>
    <row r="87" spans="1:10">
      <c r="A87" s="7">
        <v>86</v>
      </c>
      <c r="B87" s="7" t="s">
        <v>306</v>
      </c>
      <c r="C87" s="7" t="s">
        <v>307</v>
      </c>
      <c r="D87" s="7" t="s">
        <v>347</v>
      </c>
      <c r="E87" s="7" t="s">
        <v>30</v>
      </c>
      <c r="F87" s="7">
        <v>2022</v>
      </c>
      <c r="G87" t="s">
        <v>30</v>
      </c>
      <c r="H87" t="s">
        <v>110</v>
      </c>
      <c r="I87" t="s">
        <v>544</v>
      </c>
      <c r="J87" t="s">
        <v>152</v>
      </c>
    </row>
    <row r="88" spans="1:10">
      <c r="A88" s="7">
        <v>87</v>
      </c>
      <c r="B88" s="7" t="s">
        <v>306</v>
      </c>
      <c r="C88" s="7" t="s">
        <v>307</v>
      </c>
      <c r="D88" s="7" t="s">
        <v>348</v>
      </c>
      <c r="E88" s="7" t="s">
        <v>19</v>
      </c>
      <c r="F88" s="7">
        <v>2022</v>
      </c>
      <c r="G88" t="s">
        <v>19</v>
      </c>
      <c r="J88" t="s">
        <v>152</v>
      </c>
    </row>
    <row r="89" spans="1:10">
      <c r="A89" s="7">
        <v>88</v>
      </c>
      <c r="B89" s="7" t="s">
        <v>306</v>
      </c>
      <c r="C89" s="7" t="s">
        <v>307</v>
      </c>
      <c r="D89" s="7" t="s">
        <v>349</v>
      </c>
      <c r="E89" s="7" t="s">
        <v>33</v>
      </c>
      <c r="F89" s="7">
        <v>2022</v>
      </c>
      <c r="G89" t="s">
        <v>33</v>
      </c>
      <c r="I89" t="s">
        <v>170</v>
      </c>
    </row>
    <row r="90" spans="1:10">
      <c r="A90" s="7">
        <v>89</v>
      </c>
      <c r="B90" s="7" t="s">
        <v>306</v>
      </c>
      <c r="C90" s="7" t="s">
        <v>307</v>
      </c>
      <c r="D90" s="7" t="s">
        <v>350</v>
      </c>
      <c r="E90" s="7" t="s">
        <v>351</v>
      </c>
      <c r="F90" s="7">
        <v>2022</v>
      </c>
      <c r="H90" t="s">
        <v>86</v>
      </c>
    </row>
    <row r="91" spans="1:10" ht="15.75">
      <c r="A91" s="7">
        <v>90</v>
      </c>
      <c r="B91" s="7" t="s">
        <v>306</v>
      </c>
      <c r="C91" s="7" t="s">
        <v>307</v>
      </c>
      <c r="D91" s="7" t="s">
        <v>352</v>
      </c>
      <c r="E91" s="7" t="s">
        <v>353</v>
      </c>
      <c r="F91" s="7">
        <v>2022</v>
      </c>
      <c r="G91" s="12" t="s">
        <v>20</v>
      </c>
      <c r="J91" t="s">
        <v>151</v>
      </c>
    </row>
    <row r="92" spans="1:10">
      <c r="A92" s="7">
        <v>91</v>
      </c>
      <c r="B92" s="7" t="s">
        <v>306</v>
      </c>
      <c r="C92" s="7" t="s">
        <v>307</v>
      </c>
      <c r="D92" s="7" t="s">
        <v>354</v>
      </c>
      <c r="E92" s="7" t="s">
        <v>34</v>
      </c>
      <c r="F92" s="7">
        <v>2022</v>
      </c>
      <c r="G92" t="s">
        <v>34</v>
      </c>
      <c r="J92" t="s">
        <v>154</v>
      </c>
    </row>
    <row r="93" spans="1:10">
      <c r="A93" s="7">
        <v>92</v>
      </c>
      <c r="B93" s="7" t="s">
        <v>306</v>
      </c>
      <c r="C93" s="7" t="s">
        <v>307</v>
      </c>
      <c r="D93" s="7" t="s">
        <v>355</v>
      </c>
      <c r="E93" s="7" t="s">
        <v>356</v>
      </c>
      <c r="F93" s="7">
        <v>2022</v>
      </c>
    </row>
    <row r="94" spans="1:10">
      <c r="A94" s="7">
        <v>93</v>
      </c>
      <c r="B94" s="7" t="s">
        <v>306</v>
      </c>
      <c r="C94" s="7" t="s">
        <v>307</v>
      </c>
      <c r="D94" s="7" t="s">
        <v>357</v>
      </c>
      <c r="E94" s="7" t="s">
        <v>358</v>
      </c>
      <c r="F94" s="7">
        <v>2022</v>
      </c>
    </row>
    <row r="95" spans="1:10">
      <c r="A95" s="7">
        <v>94</v>
      </c>
      <c r="B95" s="7" t="s">
        <v>306</v>
      </c>
      <c r="C95" s="7" t="s">
        <v>307</v>
      </c>
      <c r="D95" s="7" t="s">
        <v>359</v>
      </c>
      <c r="E95" s="7" t="s">
        <v>360</v>
      </c>
      <c r="F95" s="7">
        <v>2022</v>
      </c>
      <c r="J95" t="s">
        <v>151</v>
      </c>
    </row>
    <row r="96" spans="1:10">
      <c r="A96" s="7">
        <v>95</v>
      </c>
      <c r="B96" s="7" t="s">
        <v>306</v>
      </c>
      <c r="C96" s="7" t="s">
        <v>307</v>
      </c>
      <c r="D96" s="7" t="s">
        <v>361</v>
      </c>
      <c r="E96" s="7" t="s">
        <v>362</v>
      </c>
      <c r="F96" s="7">
        <v>2022</v>
      </c>
    </row>
    <row r="97" spans="1:10">
      <c r="A97" s="7">
        <v>96</v>
      </c>
      <c r="B97" s="7" t="s">
        <v>306</v>
      </c>
      <c r="C97" s="7" t="s">
        <v>307</v>
      </c>
      <c r="D97" s="7" t="s">
        <v>363</v>
      </c>
      <c r="E97" s="7" t="s">
        <v>364</v>
      </c>
      <c r="F97" s="7">
        <v>2022</v>
      </c>
    </row>
    <row r="98" spans="1:10">
      <c r="A98" s="7">
        <v>97</v>
      </c>
      <c r="B98" s="7" t="s">
        <v>306</v>
      </c>
      <c r="C98" s="7" t="s">
        <v>307</v>
      </c>
      <c r="D98" s="7" t="s">
        <v>365</v>
      </c>
      <c r="E98" s="7" t="s">
        <v>366</v>
      </c>
      <c r="F98" s="7">
        <v>2022</v>
      </c>
    </row>
    <row r="99" spans="1:10">
      <c r="A99" s="7">
        <v>98</v>
      </c>
      <c r="B99" s="7" t="s">
        <v>306</v>
      </c>
      <c r="C99" s="7" t="s">
        <v>307</v>
      </c>
      <c r="D99" s="7" t="s">
        <v>367</v>
      </c>
      <c r="E99" s="7" t="s">
        <v>368</v>
      </c>
      <c r="F99" s="7">
        <v>2022</v>
      </c>
    </row>
    <row r="100" spans="1:10">
      <c r="A100" s="7">
        <v>99</v>
      </c>
      <c r="B100" s="7" t="s">
        <v>306</v>
      </c>
      <c r="C100" s="7" t="s">
        <v>307</v>
      </c>
      <c r="D100" s="7" t="s">
        <v>369</v>
      </c>
      <c r="E100" s="7" t="s">
        <v>370</v>
      </c>
      <c r="F100" s="7">
        <v>2022</v>
      </c>
    </row>
    <row r="101" spans="1:10">
      <c r="A101" s="7">
        <v>100</v>
      </c>
      <c r="B101" s="7" t="s">
        <v>306</v>
      </c>
      <c r="C101" s="7" t="s">
        <v>307</v>
      </c>
      <c r="D101" s="7" t="s">
        <v>371</v>
      </c>
      <c r="E101" s="7" t="s">
        <v>372</v>
      </c>
      <c r="F101" s="7">
        <v>2022</v>
      </c>
    </row>
    <row r="102" spans="1:10">
      <c r="A102" s="7">
        <v>101</v>
      </c>
      <c r="B102" s="7" t="s">
        <v>306</v>
      </c>
      <c r="C102" s="7" t="s">
        <v>307</v>
      </c>
      <c r="D102" s="7" t="s">
        <v>373</v>
      </c>
      <c r="E102" s="7" t="s">
        <v>374</v>
      </c>
      <c r="F102" s="7">
        <v>2022</v>
      </c>
    </row>
    <row r="103" spans="1:10">
      <c r="A103" s="7">
        <v>102</v>
      </c>
      <c r="B103" s="7" t="s">
        <v>306</v>
      </c>
      <c r="C103" s="7" t="s">
        <v>307</v>
      </c>
      <c r="D103" s="7" t="s">
        <v>375</v>
      </c>
      <c r="E103" s="7" t="s">
        <v>376</v>
      </c>
      <c r="F103" s="7">
        <v>2022</v>
      </c>
    </row>
    <row r="104" spans="1:10">
      <c r="A104" s="7">
        <v>103</v>
      </c>
      <c r="B104" s="7" t="s">
        <v>306</v>
      </c>
      <c r="C104" s="7" t="s">
        <v>307</v>
      </c>
      <c r="D104" s="7" t="s">
        <v>377</v>
      </c>
      <c r="E104" s="7" t="s">
        <v>378</v>
      </c>
      <c r="F104" s="7">
        <v>2022</v>
      </c>
    </row>
    <row r="105" spans="1:10">
      <c r="A105" s="7">
        <v>104</v>
      </c>
      <c r="B105" s="7" t="s">
        <v>306</v>
      </c>
      <c r="C105" s="7" t="s">
        <v>307</v>
      </c>
      <c r="D105" s="7" t="s">
        <v>379</v>
      </c>
      <c r="E105" s="7" t="s">
        <v>380</v>
      </c>
      <c r="F105" s="7">
        <v>2022</v>
      </c>
    </row>
    <row r="106" spans="1:10">
      <c r="A106" s="7">
        <v>105</v>
      </c>
      <c r="B106" s="7" t="s">
        <v>306</v>
      </c>
      <c r="C106" s="7" t="s">
        <v>307</v>
      </c>
      <c r="D106" s="7" t="s">
        <v>381</v>
      </c>
      <c r="E106" s="7" t="s">
        <v>382</v>
      </c>
      <c r="F106" s="7">
        <v>2022</v>
      </c>
    </row>
    <row r="107" spans="1:10">
      <c r="A107" s="7">
        <v>106</v>
      </c>
      <c r="B107" s="7" t="s">
        <v>383</v>
      </c>
      <c r="C107" s="7" t="s">
        <v>45</v>
      </c>
      <c r="D107" s="7" t="s">
        <v>384</v>
      </c>
      <c r="E107" s="7" t="s">
        <v>385</v>
      </c>
      <c r="F107" s="7">
        <v>2022</v>
      </c>
      <c r="J107" t="s">
        <v>154</v>
      </c>
    </row>
    <row r="108" spans="1:10">
      <c r="A108" s="7">
        <v>107</v>
      </c>
      <c r="B108" s="7" t="s">
        <v>383</v>
      </c>
      <c r="C108" s="7" t="s">
        <v>45</v>
      </c>
      <c r="D108" s="7" t="s">
        <v>386</v>
      </c>
      <c r="E108" s="7" t="s">
        <v>387</v>
      </c>
      <c r="F108" s="7">
        <v>2022</v>
      </c>
      <c r="J108" t="s">
        <v>154</v>
      </c>
    </row>
    <row r="109" spans="1:10">
      <c r="A109" s="7">
        <v>108</v>
      </c>
      <c r="B109" s="7" t="s">
        <v>383</v>
      </c>
      <c r="C109" s="7" t="s">
        <v>45</v>
      </c>
      <c r="D109" s="7" t="s">
        <v>388</v>
      </c>
      <c r="E109" s="7" t="s">
        <v>389</v>
      </c>
      <c r="F109" s="7">
        <v>2022</v>
      </c>
      <c r="J109" t="s">
        <v>154</v>
      </c>
    </row>
    <row r="110" spans="1:10">
      <c r="A110" s="7">
        <v>109</v>
      </c>
      <c r="B110" s="7" t="s">
        <v>383</v>
      </c>
      <c r="C110" s="7" t="s">
        <v>45</v>
      </c>
      <c r="D110" s="7" t="s">
        <v>390</v>
      </c>
      <c r="E110" s="7" t="s">
        <v>391</v>
      </c>
      <c r="F110" s="7">
        <v>2022</v>
      </c>
      <c r="J110" t="s">
        <v>154</v>
      </c>
    </row>
    <row r="111" spans="1:10">
      <c r="A111" s="7">
        <v>110</v>
      </c>
      <c r="B111" s="7" t="s">
        <v>383</v>
      </c>
      <c r="C111" s="7" t="s">
        <v>45</v>
      </c>
      <c r="D111" s="7" t="s">
        <v>392</v>
      </c>
      <c r="E111" s="7" t="s">
        <v>393</v>
      </c>
      <c r="F111" s="7">
        <v>2022</v>
      </c>
      <c r="J111" t="s">
        <v>154</v>
      </c>
    </row>
    <row r="112" spans="1:10">
      <c r="A112" s="7">
        <v>111</v>
      </c>
      <c r="B112" s="7" t="s">
        <v>383</v>
      </c>
      <c r="C112" s="7" t="s">
        <v>45</v>
      </c>
      <c r="D112" s="7" t="s">
        <v>394</v>
      </c>
      <c r="E112" s="7" t="s">
        <v>47</v>
      </c>
      <c r="F112" s="7">
        <v>2022</v>
      </c>
      <c r="G112" t="s">
        <v>47</v>
      </c>
      <c r="H112" t="s">
        <v>47</v>
      </c>
      <c r="J112" t="s">
        <v>154</v>
      </c>
    </row>
    <row r="113" spans="1:10">
      <c r="A113" s="7">
        <v>112</v>
      </c>
      <c r="B113" s="7" t="s">
        <v>383</v>
      </c>
      <c r="C113" s="7" t="s">
        <v>45</v>
      </c>
      <c r="D113" s="7" t="s">
        <v>395</v>
      </c>
      <c r="E113" s="7" t="s">
        <v>396</v>
      </c>
      <c r="F113" s="7">
        <v>2022</v>
      </c>
    </row>
    <row r="114" spans="1:10">
      <c r="A114" s="7">
        <v>113</v>
      </c>
      <c r="B114" s="7" t="s">
        <v>383</v>
      </c>
      <c r="C114" s="7" t="s">
        <v>45</v>
      </c>
      <c r="D114" s="7" t="s">
        <v>397</v>
      </c>
      <c r="E114" s="7" t="s">
        <v>398</v>
      </c>
      <c r="F114" s="7">
        <v>2022</v>
      </c>
      <c r="J114" t="s">
        <v>154</v>
      </c>
    </row>
    <row r="115" spans="1:10">
      <c r="A115" s="7">
        <v>114</v>
      </c>
      <c r="B115" s="7" t="s">
        <v>383</v>
      </c>
      <c r="C115" s="7" t="s">
        <v>45</v>
      </c>
      <c r="D115" s="7" t="s">
        <v>399</v>
      </c>
      <c r="E115" s="7" t="s">
        <v>400</v>
      </c>
      <c r="F115" s="7">
        <v>2022</v>
      </c>
      <c r="J115" t="s">
        <v>154</v>
      </c>
    </row>
    <row r="116" spans="1:10">
      <c r="A116" s="7">
        <v>115</v>
      </c>
      <c r="B116" s="7" t="s">
        <v>383</v>
      </c>
      <c r="C116" s="7" t="s">
        <v>45</v>
      </c>
      <c r="D116" s="7" t="s">
        <v>401</v>
      </c>
      <c r="E116" s="7" t="s">
        <v>402</v>
      </c>
      <c r="F116" s="7">
        <v>2022</v>
      </c>
    </row>
    <row r="117" spans="1:10">
      <c r="A117" s="7">
        <v>116</v>
      </c>
      <c r="B117" s="7" t="s">
        <v>383</v>
      </c>
      <c r="C117" s="7" t="s">
        <v>45</v>
      </c>
      <c r="D117" s="7" t="s">
        <v>403</v>
      </c>
      <c r="E117" s="7" t="s">
        <v>404</v>
      </c>
      <c r="F117" s="7">
        <v>2022</v>
      </c>
      <c r="J117" t="s">
        <v>154</v>
      </c>
    </row>
    <row r="118" spans="1:10">
      <c r="A118" s="7">
        <v>117</v>
      </c>
      <c r="B118" s="7" t="s">
        <v>383</v>
      </c>
      <c r="C118" s="7" t="s">
        <v>45</v>
      </c>
      <c r="D118" s="7" t="s">
        <v>405</v>
      </c>
      <c r="E118" s="7" t="s">
        <v>406</v>
      </c>
      <c r="F118" s="7">
        <v>2022</v>
      </c>
    </row>
    <row r="119" spans="1:10">
      <c r="A119" s="7">
        <v>118</v>
      </c>
      <c r="B119" s="7" t="s">
        <v>383</v>
      </c>
      <c r="C119" s="7" t="s">
        <v>45</v>
      </c>
      <c r="D119" s="7" t="s">
        <v>407</v>
      </c>
      <c r="E119" s="7" t="s">
        <v>408</v>
      </c>
      <c r="F119" s="7">
        <v>2022</v>
      </c>
    </row>
    <row r="120" spans="1:10">
      <c r="A120" s="7">
        <v>119</v>
      </c>
      <c r="B120" s="7" t="s">
        <v>383</v>
      </c>
      <c r="C120" s="7" t="s">
        <v>45</v>
      </c>
      <c r="D120" s="7" t="s">
        <v>409</v>
      </c>
      <c r="E120" s="7" t="s">
        <v>410</v>
      </c>
      <c r="F120" s="7">
        <v>2022</v>
      </c>
    </row>
    <row r="121" spans="1:10">
      <c r="A121" s="7">
        <v>120</v>
      </c>
      <c r="B121" s="7" t="s">
        <v>411</v>
      </c>
      <c r="C121" s="7" t="s">
        <v>119</v>
      </c>
      <c r="D121" s="7" t="s">
        <v>412</v>
      </c>
      <c r="E121" s="7" t="s">
        <v>44</v>
      </c>
      <c r="F121" s="7">
        <v>2022</v>
      </c>
      <c r="G121" t="s">
        <v>44</v>
      </c>
      <c r="H121" t="s">
        <v>119</v>
      </c>
      <c r="I121" t="s">
        <v>542</v>
      </c>
      <c r="J121" t="s">
        <v>149</v>
      </c>
    </row>
    <row r="122" spans="1:10">
      <c r="A122" s="7">
        <v>121</v>
      </c>
      <c r="B122" s="7" t="s">
        <v>411</v>
      </c>
      <c r="C122" s="7" t="s">
        <v>119</v>
      </c>
      <c r="D122" s="7" t="s">
        <v>413</v>
      </c>
      <c r="E122" s="7" t="s">
        <v>48</v>
      </c>
      <c r="F122" s="7">
        <v>2022</v>
      </c>
      <c r="G122" t="s">
        <v>48</v>
      </c>
      <c r="H122" t="s">
        <v>119</v>
      </c>
      <c r="I122" t="s">
        <v>540</v>
      </c>
      <c r="J122" t="s">
        <v>149</v>
      </c>
    </row>
    <row r="123" spans="1:10">
      <c r="A123" s="7">
        <v>122</v>
      </c>
      <c r="B123" s="7" t="s">
        <v>411</v>
      </c>
      <c r="C123" s="7" t="s">
        <v>119</v>
      </c>
      <c r="D123" s="7" t="s">
        <v>414</v>
      </c>
      <c r="E123" s="7" t="s">
        <v>51</v>
      </c>
      <c r="F123" s="7">
        <v>2022</v>
      </c>
      <c r="G123" t="s">
        <v>51</v>
      </c>
      <c r="H123" t="s">
        <v>96</v>
      </c>
      <c r="J123" t="s">
        <v>149</v>
      </c>
    </row>
    <row r="124" spans="1:10">
      <c r="A124" s="7">
        <v>123</v>
      </c>
      <c r="B124" s="7" t="s">
        <v>411</v>
      </c>
      <c r="C124" s="7" t="s">
        <v>119</v>
      </c>
      <c r="D124" s="7" t="s">
        <v>415</v>
      </c>
      <c r="E124" s="7" t="s">
        <v>50</v>
      </c>
      <c r="F124" s="7">
        <v>2022</v>
      </c>
      <c r="G124" t="s">
        <v>49</v>
      </c>
      <c r="I124" t="s">
        <v>195</v>
      </c>
      <c r="J124" t="s">
        <v>149</v>
      </c>
    </row>
    <row r="125" spans="1:10">
      <c r="A125" s="7">
        <v>124</v>
      </c>
      <c r="B125" s="7" t="s">
        <v>411</v>
      </c>
      <c r="C125" s="7" t="s">
        <v>119</v>
      </c>
      <c r="D125" s="7" t="s">
        <v>416</v>
      </c>
      <c r="E125" s="7" t="s">
        <v>417</v>
      </c>
      <c r="F125" s="7">
        <v>2022</v>
      </c>
      <c r="J125" t="s">
        <v>149</v>
      </c>
    </row>
    <row r="126" spans="1:10">
      <c r="A126" s="7">
        <v>125</v>
      </c>
      <c r="B126" s="7" t="s">
        <v>411</v>
      </c>
      <c r="C126" s="7" t="s">
        <v>119</v>
      </c>
      <c r="D126" s="7" t="s">
        <v>418</v>
      </c>
      <c r="E126" s="7" t="s">
        <v>419</v>
      </c>
      <c r="F126" s="7">
        <v>2022</v>
      </c>
      <c r="J126" t="s">
        <v>149</v>
      </c>
    </row>
    <row r="127" spans="1:10">
      <c r="A127" s="7">
        <v>126</v>
      </c>
      <c r="B127" s="7" t="s">
        <v>411</v>
      </c>
      <c r="C127" s="7" t="s">
        <v>119</v>
      </c>
      <c r="D127" s="7" t="s">
        <v>420</v>
      </c>
      <c r="E127" s="7" t="s">
        <v>54</v>
      </c>
      <c r="F127" s="7">
        <v>2022</v>
      </c>
      <c r="G127" t="s">
        <v>54</v>
      </c>
      <c r="H127" t="s">
        <v>124</v>
      </c>
      <c r="I127" t="s">
        <v>162</v>
      </c>
      <c r="J127" t="s">
        <v>149</v>
      </c>
    </row>
    <row r="128" spans="1:10">
      <c r="A128" s="7">
        <v>127</v>
      </c>
      <c r="B128" s="7" t="s">
        <v>411</v>
      </c>
      <c r="C128" s="7" t="s">
        <v>119</v>
      </c>
      <c r="D128" s="7" t="s">
        <v>421</v>
      </c>
      <c r="E128" s="7" t="s">
        <v>422</v>
      </c>
      <c r="F128" s="7">
        <v>2022</v>
      </c>
      <c r="J128" t="s">
        <v>149</v>
      </c>
    </row>
    <row r="129" spans="1:10">
      <c r="A129" s="7">
        <v>128</v>
      </c>
      <c r="B129" s="7" t="s">
        <v>411</v>
      </c>
      <c r="C129" s="7" t="s">
        <v>119</v>
      </c>
      <c r="D129" s="7" t="s">
        <v>423</v>
      </c>
      <c r="E129" s="7" t="s">
        <v>424</v>
      </c>
      <c r="F129" s="7">
        <v>2022</v>
      </c>
      <c r="J129" t="s">
        <v>149</v>
      </c>
    </row>
    <row r="130" spans="1:10">
      <c r="A130" s="7">
        <v>129</v>
      </c>
      <c r="B130" s="7" t="s">
        <v>411</v>
      </c>
      <c r="C130" s="7" t="s">
        <v>119</v>
      </c>
      <c r="D130" s="7" t="s">
        <v>425</v>
      </c>
      <c r="E130" s="7" t="s">
        <v>52</v>
      </c>
      <c r="F130" s="7">
        <v>2022</v>
      </c>
      <c r="G130" t="s">
        <v>52</v>
      </c>
      <c r="H130" t="s">
        <v>52</v>
      </c>
      <c r="J130" t="s">
        <v>149</v>
      </c>
    </row>
    <row r="131" spans="1:10">
      <c r="A131" s="7">
        <v>130</v>
      </c>
      <c r="B131" s="7" t="s">
        <v>411</v>
      </c>
      <c r="C131" s="7" t="s">
        <v>119</v>
      </c>
      <c r="D131" s="7" t="s">
        <v>426</v>
      </c>
      <c r="E131" s="7" t="s">
        <v>427</v>
      </c>
      <c r="F131" s="7">
        <v>2022</v>
      </c>
      <c r="J131" t="s">
        <v>149</v>
      </c>
    </row>
    <row r="132" spans="1:10">
      <c r="A132" s="7">
        <v>131</v>
      </c>
      <c r="B132" s="7" t="s">
        <v>411</v>
      </c>
      <c r="C132" s="7" t="s">
        <v>119</v>
      </c>
      <c r="D132" s="7" t="s">
        <v>428</v>
      </c>
      <c r="E132" s="7" t="s">
        <v>49</v>
      </c>
      <c r="F132" s="7">
        <v>2022</v>
      </c>
    </row>
    <row r="133" spans="1:10">
      <c r="A133" s="7">
        <v>132</v>
      </c>
      <c r="B133" s="7" t="s">
        <v>411</v>
      </c>
      <c r="C133" s="7" t="s">
        <v>119</v>
      </c>
      <c r="D133" s="7" t="s">
        <v>429</v>
      </c>
      <c r="E133" s="7" t="s">
        <v>430</v>
      </c>
      <c r="F133" s="7">
        <v>2022</v>
      </c>
    </row>
    <row r="134" spans="1:10">
      <c r="A134" s="7">
        <v>133</v>
      </c>
      <c r="B134" s="7" t="s">
        <v>411</v>
      </c>
      <c r="C134" s="7" t="s">
        <v>119</v>
      </c>
      <c r="D134" s="7" t="s">
        <v>431</v>
      </c>
      <c r="E134" s="7" t="s">
        <v>432</v>
      </c>
      <c r="F134" s="7">
        <v>2022</v>
      </c>
    </row>
    <row r="135" spans="1:10">
      <c r="A135" s="7">
        <v>134</v>
      </c>
      <c r="B135" s="7" t="s">
        <v>411</v>
      </c>
      <c r="C135" s="7" t="s">
        <v>119</v>
      </c>
      <c r="D135" s="7" t="s">
        <v>433</v>
      </c>
      <c r="E135" s="7" t="s">
        <v>434</v>
      </c>
      <c r="F135" s="7">
        <v>2022</v>
      </c>
    </row>
    <row r="136" spans="1:10">
      <c r="A136" s="7">
        <v>135</v>
      </c>
      <c r="B136" s="7" t="s">
        <v>411</v>
      </c>
      <c r="C136" s="7" t="s">
        <v>119</v>
      </c>
      <c r="D136" s="7" t="s">
        <v>435</v>
      </c>
      <c r="E136" s="7" t="s">
        <v>53</v>
      </c>
      <c r="F136" s="7">
        <v>2022</v>
      </c>
    </row>
    <row r="137" spans="1:10">
      <c r="A137" s="7">
        <v>136</v>
      </c>
      <c r="B137" s="7" t="s">
        <v>411</v>
      </c>
      <c r="C137" s="7" t="s">
        <v>119</v>
      </c>
      <c r="D137" s="7" t="s">
        <v>436</v>
      </c>
      <c r="E137" s="7" t="s">
        <v>437</v>
      </c>
      <c r="F137" s="7">
        <v>2022</v>
      </c>
    </row>
    <row r="138" spans="1:10">
      <c r="A138" s="7">
        <v>137</v>
      </c>
      <c r="B138" s="7" t="s">
        <v>438</v>
      </c>
      <c r="C138" s="7" t="s">
        <v>439</v>
      </c>
      <c r="D138" s="7" t="s">
        <v>440</v>
      </c>
      <c r="E138" s="7" t="s">
        <v>441</v>
      </c>
      <c r="F138" s="7">
        <v>2022</v>
      </c>
    </row>
    <row r="139" spans="1:10">
      <c r="A139" s="7">
        <v>138</v>
      </c>
      <c r="B139" s="7" t="s">
        <v>438</v>
      </c>
      <c r="C139" s="7" t="s">
        <v>439</v>
      </c>
      <c r="D139" s="7" t="s">
        <v>442</v>
      </c>
      <c r="E139" s="7" t="s">
        <v>443</v>
      </c>
      <c r="F139" s="7">
        <v>2022</v>
      </c>
    </row>
    <row r="140" spans="1:10">
      <c r="A140" s="7">
        <v>139</v>
      </c>
      <c r="B140" s="7" t="s">
        <v>438</v>
      </c>
      <c r="C140" s="7" t="s">
        <v>439</v>
      </c>
      <c r="D140" s="7" t="s">
        <v>444</v>
      </c>
      <c r="E140" s="7" t="s">
        <v>445</v>
      </c>
      <c r="F140" s="7">
        <v>2022</v>
      </c>
    </row>
    <row r="141" spans="1:10">
      <c r="A141" s="7">
        <v>140</v>
      </c>
      <c r="B141" s="7" t="s">
        <v>438</v>
      </c>
      <c r="C141" s="7" t="s">
        <v>439</v>
      </c>
      <c r="D141" s="7" t="s">
        <v>446</v>
      </c>
      <c r="E141" s="7" t="s">
        <v>447</v>
      </c>
      <c r="F141" s="7">
        <v>2022</v>
      </c>
    </row>
    <row r="142" spans="1:10">
      <c r="A142" s="7">
        <v>141</v>
      </c>
      <c r="B142" s="7" t="s">
        <v>438</v>
      </c>
      <c r="C142" s="7" t="s">
        <v>439</v>
      </c>
      <c r="D142" s="7" t="s">
        <v>448</v>
      </c>
      <c r="E142" s="7" t="s">
        <v>449</v>
      </c>
      <c r="F142" s="7">
        <v>2022</v>
      </c>
    </row>
    <row r="143" spans="1:10">
      <c r="A143" s="7">
        <v>142</v>
      </c>
      <c r="B143" s="7" t="s">
        <v>438</v>
      </c>
      <c r="C143" s="7" t="s">
        <v>439</v>
      </c>
      <c r="D143" s="7" t="s">
        <v>450</v>
      </c>
      <c r="E143" s="7" t="s">
        <v>451</v>
      </c>
      <c r="F143" s="7">
        <v>2022</v>
      </c>
    </row>
    <row r="144" spans="1:10">
      <c r="A144" s="7">
        <v>143</v>
      </c>
      <c r="B144" s="7" t="s">
        <v>438</v>
      </c>
      <c r="C144" s="7" t="s">
        <v>439</v>
      </c>
      <c r="D144" s="7" t="s">
        <v>452</v>
      </c>
      <c r="E144" s="7" t="s">
        <v>453</v>
      </c>
      <c r="F144" s="7">
        <v>2022</v>
      </c>
    </row>
    <row r="145" spans="1:10">
      <c r="A145" s="7">
        <v>144</v>
      </c>
      <c r="B145" s="7" t="s">
        <v>438</v>
      </c>
      <c r="C145" s="7" t="s">
        <v>439</v>
      </c>
      <c r="D145" s="7" t="s">
        <v>454</v>
      </c>
      <c r="E145" s="7" t="s">
        <v>455</v>
      </c>
      <c r="F145" s="7">
        <v>2022</v>
      </c>
    </row>
    <row r="146" spans="1:10">
      <c r="A146" s="7">
        <v>145</v>
      </c>
      <c r="B146" s="7" t="s">
        <v>438</v>
      </c>
      <c r="C146" s="7" t="s">
        <v>439</v>
      </c>
      <c r="D146" s="7" t="s">
        <v>456</v>
      </c>
      <c r="E146" s="7" t="s">
        <v>457</v>
      </c>
      <c r="F146" s="7">
        <v>2022</v>
      </c>
    </row>
    <row r="147" spans="1:10">
      <c r="A147" s="7">
        <v>146</v>
      </c>
      <c r="B147" s="7" t="s">
        <v>438</v>
      </c>
      <c r="C147" s="7" t="s">
        <v>439</v>
      </c>
      <c r="D147" s="7" t="s">
        <v>458</v>
      </c>
      <c r="E147" s="7" t="s">
        <v>459</v>
      </c>
      <c r="F147" s="7">
        <v>2022</v>
      </c>
    </row>
    <row r="148" spans="1:10">
      <c r="A148" s="7">
        <v>147</v>
      </c>
      <c r="B148" s="7" t="s">
        <v>438</v>
      </c>
      <c r="C148" s="7" t="s">
        <v>439</v>
      </c>
      <c r="D148" s="7" t="s">
        <v>460</v>
      </c>
      <c r="E148" s="7" t="s">
        <v>461</v>
      </c>
      <c r="F148" s="7">
        <v>2022</v>
      </c>
    </row>
    <row r="149" spans="1:10">
      <c r="A149" s="7">
        <v>148</v>
      </c>
      <c r="B149" s="7" t="s">
        <v>438</v>
      </c>
      <c r="C149" s="7" t="s">
        <v>439</v>
      </c>
      <c r="D149" s="7" t="s">
        <v>462</v>
      </c>
      <c r="E149" s="7" t="s">
        <v>463</v>
      </c>
      <c r="F149" s="7">
        <v>2022</v>
      </c>
    </row>
    <row r="150" spans="1:10">
      <c r="A150" s="7">
        <v>149</v>
      </c>
      <c r="B150" s="7" t="s">
        <v>438</v>
      </c>
      <c r="C150" s="7" t="s">
        <v>439</v>
      </c>
      <c r="D150" s="7" t="s">
        <v>464</v>
      </c>
      <c r="E150" s="7" t="s">
        <v>465</v>
      </c>
      <c r="F150" s="7">
        <v>2022</v>
      </c>
    </row>
    <row r="151" spans="1:10">
      <c r="A151" s="7">
        <v>150</v>
      </c>
      <c r="B151" s="7" t="s">
        <v>438</v>
      </c>
      <c r="C151" s="7" t="s">
        <v>439</v>
      </c>
      <c r="D151" s="7" t="s">
        <v>466</v>
      </c>
      <c r="E151" s="7" t="s">
        <v>467</v>
      </c>
      <c r="F151" s="7">
        <v>2022</v>
      </c>
    </row>
    <row r="152" spans="1:10">
      <c r="A152" s="7">
        <v>151</v>
      </c>
      <c r="B152" s="7" t="s">
        <v>438</v>
      </c>
      <c r="C152" s="7" t="s">
        <v>439</v>
      </c>
      <c r="D152" s="7" t="s">
        <v>468</v>
      </c>
      <c r="E152" s="7" t="s">
        <v>469</v>
      </c>
      <c r="F152" s="7">
        <v>2022</v>
      </c>
    </row>
    <row r="153" spans="1:10">
      <c r="A153" s="7">
        <v>152</v>
      </c>
      <c r="B153" s="7" t="s">
        <v>438</v>
      </c>
      <c r="C153" s="7" t="s">
        <v>439</v>
      </c>
      <c r="D153" s="7" t="s">
        <v>470</v>
      </c>
      <c r="E153" s="7" t="s">
        <v>471</v>
      </c>
      <c r="F153" s="7">
        <v>2022</v>
      </c>
    </row>
    <row r="154" spans="1:10">
      <c r="A154" s="7">
        <v>153</v>
      </c>
      <c r="B154" s="7" t="s">
        <v>438</v>
      </c>
      <c r="C154" s="7" t="s">
        <v>439</v>
      </c>
      <c r="D154" s="7" t="s">
        <v>472</v>
      </c>
      <c r="E154" s="7" t="s">
        <v>473</v>
      </c>
      <c r="F154" s="7">
        <v>2022</v>
      </c>
    </row>
    <row r="155" spans="1:10">
      <c r="A155" s="7">
        <v>154</v>
      </c>
      <c r="B155" s="7" t="s">
        <v>474</v>
      </c>
      <c r="C155" s="7" t="s">
        <v>68</v>
      </c>
      <c r="D155" s="7" t="s">
        <v>475</v>
      </c>
      <c r="E155" s="7" t="s">
        <v>69</v>
      </c>
      <c r="F155" s="7">
        <v>2022</v>
      </c>
      <c r="G155" t="s">
        <v>68</v>
      </c>
      <c r="H155" t="s">
        <v>131</v>
      </c>
    </row>
    <row r="156" spans="1:10">
      <c r="A156" s="7">
        <v>155</v>
      </c>
      <c r="B156" s="7" t="s">
        <v>474</v>
      </c>
      <c r="C156" s="7" t="s">
        <v>68</v>
      </c>
      <c r="D156" s="7" t="s">
        <v>476</v>
      </c>
      <c r="E156" s="7" t="s">
        <v>65</v>
      </c>
      <c r="F156" s="7">
        <v>2022</v>
      </c>
      <c r="G156" t="s">
        <v>64</v>
      </c>
      <c r="H156" t="s">
        <v>90</v>
      </c>
      <c r="I156" t="s">
        <v>147</v>
      </c>
      <c r="J156" t="s">
        <v>147</v>
      </c>
    </row>
    <row r="157" spans="1:10">
      <c r="A157" s="7">
        <v>156</v>
      </c>
      <c r="B157" s="7" t="s">
        <v>474</v>
      </c>
      <c r="C157" s="7" t="s">
        <v>68</v>
      </c>
      <c r="D157" s="7" t="s">
        <v>477</v>
      </c>
      <c r="E157" s="7" t="s">
        <v>478</v>
      </c>
      <c r="F157" s="7">
        <v>2022</v>
      </c>
    </row>
    <row r="158" spans="1:10">
      <c r="A158" s="7">
        <v>157</v>
      </c>
      <c r="B158" s="7" t="s">
        <v>474</v>
      </c>
      <c r="C158" s="7" t="s">
        <v>68</v>
      </c>
      <c r="D158" s="7" t="s">
        <v>479</v>
      </c>
      <c r="E158" s="7" t="s">
        <v>71</v>
      </c>
      <c r="F158" s="7">
        <v>2022</v>
      </c>
      <c r="G158" t="s">
        <v>70</v>
      </c>
      <c r="H158" t="s">
        <v>128</v>
      </c>
    </row>
    <row r="159" spans="1:10">
      <c r="A159" s="7">
        <v>158</v>
      </c>
      <c r="B159" s="7" t="s">
        <v>474</v>
      </c>
      <c r="C159" s="7" t="s">
        <v>68</v>
      </c>
      <c r="D159" s="7" t="s">
        <v>480</v>
      </c>
      <c r="E159" s="7" t="s">
        <v>74</v>
      </c>
      <c r="F159" s="7">
        <v>2022</v>
      </c>
      <c r="G159" t="s">
        <v>73</v>
      </c>
      <c r="H159" t="s">
        <v>115</v>
      </c>
    </row>
    <row r="160" spans="1:10">
      <c r="A160" s="7">
        <v>159</v>
      </c>
      <c r="B160" s="7" t="s">
        <v>474</v>
      </c>
      <c r="C160" s="7" t="s">
        <v>68</v>
      </c>
      <c r="D160" s="7" t="s">
        <v>481</v>
      </c>
      <c r="E160" s="7" t="s">
        <v>64</v>
      </c>
      <c r="F160" s="7">
        <v>2022</v>
      </c>
      <c r="H160" t="s">
        <v>90</v>
      </c>
    </row>
    <row r="161" spans="1:10">
      <c r="A161" s="7">
        <v>160</v>
      </c>
      <c r="B161" s="7" t="s">
        <v>474</v>
      </c>
      <c r="C161" s="7" t="s">
        <v>68</v>
      </c>
      <c r="D161" s="7" t="s">
        <v>482</v>
      </c>
      <c r="E161" s="7" t="s">
        <v>70</v>
      </c>
      <c r="F161" s="7">
        <v>2022</v>
      </c>
    </row>
    <row r="162" spans="1:10">
      <c r="A162" s="7">
        <v>161</v>
      </c>
      <c r="B162" s="7" t="s">
        <v>474</v>
      </c>
      <c r="C162" s="7" t="s">
        <v>68</v>
      </c>
      <c r="D162" s="7" t="s">
        <v>483</v>
      </c>
      <c r="E162" s="7" t="s">
        <v>484</v>
      </c>
      <c r="F162" s="7">
        <v>2022</v>
      </c>
    </row>
    <row r="163" spans="1:10">
      <c r="A163" s="7">
        <v>162</v>
      </c>
      <c r="B163" s="7" t="s">
        <v>474</v>
      </c>
      <c r="C163" s="7" t="s">
        <v>68</v>
      </c>
      <c r="D163" s="7" t="s">
        <v>485</v>
      </c>
      <c r="E163" s="7" t="s">
        <v>486</v>
      </c>
      <c r="F163" s="7">
        <v>2022</v>
      </c>
    </row>
    <row r="164" spans="1:10">
      <c r="A164" s="7">
        <v>163</v>
      </c>
      <c r="B164" s="7" t="s">
        <v>474</v>
      </c>
      <c r="C164" s="7" t="s">
        <v>68</v>
      </c>
      <c r="D164" s="7" t="s">
        <v>487</v>
      </c>
      <c r="E164" s="7" t="s">
        <v>488</v>
      </c>
      <c r="F164" s="7">
        <v>2022</v>
      </c>
    </row>
    <row r="165" spans="1:10">
      <c r="A165" s="7">
        <v>164</v>
      </c>
      <c r="B165" s="7" t="s">
        <v>474</v>
      </c>
      <c r="C165" s="7" t="s">
        <v>68</v>
      </c>
      <c r="D165" s="7" t="s">
        <v>489</v>
      </c>
      <c r="E165" s="7" t="s">
        <v>490</v>
      </c>
      <c r="F165" s="7">
        <v>2022</v>
      </c>
    </row>
    <row r="166" spans="1:10">
      <c r="A166" s="7">
        <v>165</v>
      </c>
      <c r="B166" s="7" t="s">
        <v>474</v>
      </c>
      <c r="C166" s="7" t="s">
        <v>68</v>
      </c>
      <c r="D166" s="7" t="s">
        <v>491</v>
      </c>
      <c r="E166" s="7" t="s">
        <v>492</v>
      </c>
      <c r="F166" s="7">
        <v>2022</v>
      </c>
    </row>
    <row r="167" spans="1:10">
      <c r="A167" s="7">
        <v>166</v>
      </c>
      <c r="B167" s="7" t="s">
        <v>493</v>
      </c>
      <c r="C167" s="7" t="s">
        <v>123</v>
      </c>
      <c r="D167" s="7" t="s">
        <v>494</v>
      </c>
      <c r="E167" s="7" t="s">
        <v>123</v>
      </c>
      <c r="F167" s="7">
        <v>2022</v>
      </c>
      <c r="H167" t="s">
        <v>122</v>
      </c>
      <c r="I167" t="s">
        <v>144</v>
      </c>
      <c r="J167" t="s">
        <v>144</v>
      </c>
    </row>
    <row r="168" spans="1:10">
      <c r="A168" s="7">
        <v>167</v>
      </c>
      <c r="B168" s="7" t="s">
        <v>493</v>
      </c>
      <c r="C168" s="7" t="s">
        <v>123</v>
      </c>
      <c r="D168" s="7" t="s">
        <v>495</v>
      </c>
      <c r="E168" s="7" t="s">
        <v>496</v>
      </c>
      <c r="F168" s="7">
        <v>2022</v>
      </c>
    </row>
    <row r="169" spans="1:10">
      <c r="A169" s="7">
        <v>168</v>
      </c>
      <c r="B169" s="7" t="s">
        <v>493</v>
      </c>
      <c r="C169" s="7" t="s">
        <v>123</v>
      </c>
      <c r="D169" s="7" t="s">
        <v>497</v>
      </c>
      <c r="E169" s="7" t="s">
        <v>498</v>
      </c>
      <c r="F169" s="7">
        <v>2022</v>
      </c>
    </row>
    <row r="170" spans="1:10">
      <c r="A170" s="7">
        <v>169</v>
      </c>
      <c r="B170" s="7" t="s">
        <v>493</v>
      </c>
      <c r="C170" s="7" t="s">
        <v>123</v>
      </c>
      <c r="D170" s="7" t="s">
        <v>499</v>
      </c>
      <c r="E170" s="7" t="s">
        <v>500</v>
      </c>
      <c r="F170" s="7">
        <v>2022</v>
      </c>
    </row>
    <row r="171" spans="1:10">
      <c r="A171" s="7">
        <v>170</v>
      </c>
      <c r="B171" s="7" t="s">
        <v>493</v>
      </c>
      <c r="C171" s="7" t="s">
        <v>123</v>
      </c>
      <c r="D171" s="7" t="s">
        <v>501</v>
      </c>
      <c r="E171" s="7" t="s">
        <v>502</v>
      </c>
      <c r="F171" s="7">
        <v>2022</v>
      </c>
    </row>
    <row r="172" spans="1:10">
      <c r="A172" s="7">
        <v>171</v>
      </c>
      <c r="B172" s="7" t="s">
        <v>493</v>
      </c>
      <c r="C172" s="7" t="s">
        <v>123</v>
      </c>
      <c r="D172" s="7" t="s">
        <v>503</v>
      </c>
      <c r="E172" s="7" t="s">
        <v>504</v>
      </c>
      <c r="F172" s="7">
        <v>2022</v>
      </c>
    </row>
    <row r="173" spans="1:10">
      <c r="A173" s="7">
        <v>172</v>
      </c>
      <c r="B173" s="7" t="s">
        <v>493</v>
      </c>
      <c r="C173" s="7" t="s">
        <v>123</v>
      </c>
      <c r="D173" s="7" t="s">
        <v>505</v>
      </c>
      <c r="E173" s="7" t="s">
        <v>506</v>
      </c>
      <c r="F173" s="7">
        <v>2022</v>
      </c>
      <c r="I173" t="s">
        <v>144</v>
      </c>
      <c r="J173" t="s">
        <v>144</v>
      </c>
    </row>
    <row r="174" spans="1:10">
      <c r="A174" s="7">
        <v>173</v>
      </c>
      <c r="B174" s="7" t="s">
        <v>507</v>
      </c>
      <c r="C174" s="7" t="s">
        <v>508</v>
      </c>
      <c r="D174" s="7" t="s">
        <v>509</v>
      </c>
      <c r="E174" s="7" t="s">
        <v>510</v>
      </c>
      <c r="F174" s="7">
        <v>2022</v>
      </c>
    </row>
    <row r="175" spans="1:10">
      <c r="A175" s="7">
        <v>174</v>
      </c>
      <c r="B175" s="7" t="s">
        <v>507</v>
      </c>
      <c r="C175" s="7" t="s">
        <v>508</v>
      </c>
      <c r="D175" s="7" t="s">
        <v>511</v>
      </c>
      <c r="E175" s="7" t="s">
        <v>512</v>
      </c>
      <c r="F175" s="7">
        <v>2022</v>
      </c>
    </row>
    <row r="176" spans="1:10">
      <c r="A176" s="7">
        <v>175</v>
      </c>
      <c r="B176" s="7" t="s">
        <v>507</v>
      </c>
      <c r="C176" s="7" t="s">
        <v>508</v>
      </c>
      <c r="D176" s="7" t="s">
        <v>513</v>
      </c>
      <c r="E176" s="7" t="s">
        <v>514</v>
      </c>
      <c r="F176" s="7">
        <v>2022</v>
      </c>
      <c r="H176" t="s">
        <v>87</v>
      </c>
    </row>
    <row r="177" spans="1:9">
      <c r="A177" s="7">
        <v>176</v>
      </c>
      <c r="B177" s="7" t="s">
        <v>507</v>
      </c>
      <c r="C177" s="7" t="s">
        <v>508</v>
      </c>
      <c r="D177" s="7" t="s">
        <v>515</v>
      </c>
      <c r="E177" s="7" t="s">
        <v>40</v>
      </c>
      <c r="F177" s="7">
        <v>2022</v>
      </c>
      <c r="G177" t="s">
        <v>39</v>
      </c>
    </row>
    <row r="178" spans="1:9">
      <c r="A178" s="7">
        <v>177</v>
      </c>
      <c r="B178" s="7" t="s">
        <v>507</v>
      </c>
      <c r="C178" s="7" t="s">
        <v>508</v>
      </c>
      <c r="D178" s="7" t="s">
        <v>516</v>
      </c>
      <c r="E178" s="7" t="s">
        <v>517</v>
      </c>
      <c r="F178" s="7">
        <v>2022</v>
      </c>
      <c r="H178" t="s">
        <v>143</v>
      </c>
    </row>
    <row r="179" spans="1:9">
      <c r="A179" s="7">
        <v>178</v>
      </c>
      <c r="B179" s="7" t="s">
        <v>507</v>
      </c>
      <c r="C179" s="7" t="s">
        <v>508</v>
      </c>
      <c r="D179" s="7" t="s">
        <v>518</v>
      </c>
      <c r="E179" s="7" t="s">
        <v>27</v>
      </c>
      <c r="F179" s="7">
        <v>2022</v>
      </c>
      <c r="G179" t="s">
        <v>26</v>
      </c>
      <c r="I179" t="s">
        <v>183</v>
      </c>
    </row>
    <row r="180" spans="1:9">
      <c r="A180" s="7">
        <v>179</v>
      </c>
      <c r="B180" s="7" t="s">
        <v>507</v>
      </c>
      <c r="C180" s="7" t="s">
        <v>508</v>
      </c>
      <c r="D180" s="7" t="s">
        <v>519</v>
      </c>
      <c r="E180" s="7" t="s">
        <v>520</v>
      </c>
      <c r="F180" s="7">
        <v>2022</v>
      </c>
    </row>
    <row r="181" spans="1:9">
      <c r="A181" s="7">
        <v>180</v>
      </c>
      <c r="B181" s="7" t="s">
        <v>507</v>
      </c>
      <c r="C181" s="7" t="s">
        <v>508</v>
      </c>
      <c r="D181" s="7" t="s">
        <v>521</v>
      </c>
      <c r="E181" s="7" t="s">
        <v>522</v>
      </c>
      <c r="F181" s="7">
        <v>2022</v>
      </c>
    </row>
    <row r="182" spans="1:9">
      <c r="A182" s="7">
        <v>181</v>
      </c>
      <c r="B182" s="7" t="s">
        <v>507</v>
      </c>
      <c r="C182" s="7" t="s">
        <v>508</v>
      </c>
      <c r="D182" s="7" t="s">
        <v>523</v>
      </c>
      <c r="E182" s="7" t="s">
        <v>524</v>
      </c>
      <c r="F182" s="7">
        <v>2022</v>
      </c>
    </row>
  </sheetData>
  <autoFilter ref="A1:J182" xr:uid="{7B3341C8-D2B5-4522-A69B-5BE6FA8F1F4A}"/>
  <phoneticPr fontId="2" type="noConversion"/>
  <conditionalFormatting sqref="G2:G182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"/>
  <sheetViews>
    <sheetView tabSelected="1" workbookViewId="0">
      <pane xSplit="1" ySplit="1" topLeftCell="B155" activePane="bottomRight" state="frozen"/>
      <selection pane="topRight" activeCell="B1" sqref="B1"/>
      <selection pane="bottomLeft" activeCell="A2" sqref="A2"/>
      <selection pane="bottomRight" activeCell="B116" sqref="B116"/>
    </sheetView>
  </sheetViews>
  <sheetFormatPr defaultRowHeight="14.25"/>
  <cols>
    <col min="1" max="1" width="29.375" customWidth="1"/>
    <col min="2" max="2" width="29" customWidth="1"/>
    <col min="3" max="3" width="58.875" customWidth="1"/>
    <col min="4" max="4" width="14.25" customWidth="1"/>
    <col min="5" max="5" width="14.125" customWidth="1"/>
  </cols>
  <sheetData>
    <row r="1" spans="1:5" ht="15.75">
      <c r="A1" s="1" t="s">
        <v>2</v>
      </c>
      <c r="B1" s="1" t="s">
        <v>0</v>
      </c>
      <c r="C1" s="1" t="s">
        <v>1</v>
      </c>
      <c r="D1" t="s">
        <v>0</v>
      </c>
      <c r="E1" s="11" t="s">
        <v>530</v>
      </c>
    </row>
    <row r="2" spans="1:5" ht="15.75">
      <c r="A2" s="2" t="s">
        <v>4</v>
      </c>
      <c r="B2" s="2" t="s">
        <v>3</v>
      </c>
      <c r="C2" s="2" t="s">
        <v>3</v>
      </c>
      <c r="D2" t="s">
        <v>3</v>
      </c>
      <c r="E2" t="str">
        <f>VLOOKUP(B2,学科映射关系!G:G,1,FALSE)</f>
        <v>数学</v>
      </c>
    </row>
    <row r="3" spans="1:5" ht="15.75">
      <c r="A3" s="2" t="s">
        <v>4</v>
      </c>
      <c r="B3" s="2" t="s">
        <v>5</v>
      </c>
      <c r="C3" s="2" t="s">
        <v>5</v>
      </c>
      <c r="D3" t="s">
        <v>5</v>
      </c>
      <c r="E3" t="str">
        <f>VLOOKUP(B3,学科映射关系!G:G,1,FALSE)</f>
        <v>物理学</v>
      </c>
    </row>
    <row r="4" spans="1:5" ht="15.75">
      <c r="A4" s="2" t="s">
        <v>4</v>
      </c>
      <c r="B4" s="2" t="s">
        <v>6</v>
      </c>
      <c r="C4" s="2" t="s">
        <v>6</v>
      </c>
      <c r="D4" t="s">
        <v>6</v>
      </c>
      <c r="E4" t="str">
        <f>VLOOKUP(B4,学科映射关系!G:G,1,FALSE)</f>
        <v>化学</v>
      </c>
    </row>
    <row r="5" spans="1:5" ht="16.5">
      <c r="A5" s="2" t="s">
        <v>4</v>
      </c>
      <c r="B5" s="12" t="s">
        <v>7</v>
      </c>
      <c r="C5" s="13" t="s">
        <v>8</v>
      </c>
      <c r="D5" s="8" t="s">
        <v>7</v>
      </c>
      <c r="E5" s="8" t="str">
        <f>VLOOKUP(B5,学科映射关系!G:G,1,FALSE)</f>
        <v>地球科学</v>
      </c>
    </row>
    <row r="6" spans="1:5" ht="15.75">
      <c r="A6" s="2" t="s">
        <v>4</v>
      </c>
      <c r="B6" s="2" t="s">
        <v>9</v>
      </c>
      <c r="C6" s="2" t="s">
        <v>9</v>
      </c>
      <c r="D6" t="s">
        <v>9</v>
      </c>
      <c r="E6" t="str">
        <f>VLOOKUP(B6,学科映射关系!G:G,1,FALSE)</f>
        <v>地理学</v>
      </c>
    </row>
    <row r="7" spans="1:5" ht="15.75">
      <c r="A7" s="2" t="s">
        <v>4</v>
      </c>
      <c r="B7" s="2" t="s">
        <v>10</v>
      </c>
      <c r="C7" s="2" t="s">
        <v>10</v>
      </c>
      <c r="D7" t="s">
        <v>10</v>
      </c>
      <c r="E7" t="str">
        <f>VLOOKUP(B7,学科映射关系!G:G,1,FALSE)</f>
        <v>生态学</v>
      </c>
    </row>
    <row r="8" spans="1:5" ht="15.75">
      <c r="A8" s="2" t="s">
        <v>4</v>
      </c>
      <c r="B8" s="2" t="s">
        <v>11</v>
      </c>
      <c r="C8" s="2" t="s">
        <v>11</v>
      </c>
      <c r="D8" t="s">
        <v>11</v>
      </c>
      <c r="E8" t="str">
        <f>VLOOKUP(B8,学科映射关系!G:G,1,FALSE)</f>
        <v>机械工程</v>
      </c>
    </row>
    <row r="9" spans="1:5" ht="16.5">
      <c r="A9" s="2" t="s">
        <v>4</v>
      </c>
      <c r="B9" s="12" t="s">
        <v>12</v>
      </c>
      <c r="C9" s="13" t="s">
        <v>13</v>
      </c>
      <c r="D9" s="8" t="s">
        <v>12</v>
      </c>
      <c r="E9" s="8" t="str">
        <f>VLOOKUP(B9,学科映射关系!G:G,1,FALSE)</f>
        <v>电力电子工程</v>
      </c>
    </row>
    <row r="10" spans="1:5" ht="15.75">
      <c r="A10" s="2" t="s">
        <v>4</v>
      </c>
      <c r="B10" s="2" t="s">
        <v>14</v>
      </c>
      <c r="C10" s="2" t="s">
        <v>14</v>
      </c>
      <c r="D10" t="s">
        <v>14</v>
      </c>
      <c r="E10" t="str">
        <f>VLOOKUP(B10,学科映射关系!G:G,1,FALSE)</f>
        <v>控制科学与工程</v>
      </c>
    </row>
    <row r="11" spans="1:5" ht="15.75">
      <c r="A11" s="2" t="s">
        <v>4</v>
      </c>
      <c r="B11" s="2" t="s">
        <v>15</v>
      </c>
      <c r="C11" s="2" t="s">
        <v>16</v>
      </c>
      <c r="D11" t="s">
        <v>15</v>
      </c>
      <c r="E11" t="str">
        <f>VLOOKUP(B11,学科映射关系!G:G,1,FALSE)</f>
        <v>通信工程</v>
      </c>
    </row>
    <row r="12" spans="1:5" ht="16.5">
      <c r="A12" s="2" t="s">
        <v>4</v>
      </c>
      <c r="B12" s="2" t="s">
        <v>17</v>
      </c>
      <c r="C12" s="3" t="s">
        <v>18</v>
      </c>
      <c r="D12" t="s">
        <v>17</v>
      </c>
      <c r="E12" t="str">
        <f>VLOOKUP(B12,学科映射关系!G:G,1,FALSE)</f>
        <v>仪器科学</v>
      </c>
    </row>
    <row r="13" spans="1:5" ht="15.75">
      <c r="A13" s="2" t="s">
        <v>4</v>
      </c>
      <c r="B13" s="2" t="s">
        <v>19</v>
      </c>
      <c r="C13" s="2" t="s">
        <v>19</v>
      </c>
      <c r="D13" t="s">
        <v>19</v>
      </c>
      <c r="E13" t="str">
        <f>VLOOKUP(B13,学科映射关系!G:G,1,FALSE)</f>
        <v>生物医学工程</v>
      </c>
    </row>
    <row r="14" spans="1:5" ht="16.5">
      <c r="A14" s="2" t="s">
        <v>4</v>
      </c>
      <c r="B14" s="12" t="s">
        <v>20</v>
      </c>
      <c r="C14" s="13" t="s">
        <v>21</v>
      </c>
      <c r="D14" s="8" t="s">
        <v>20</v>
      </c>
      <c r="E14" s="8" t="str">
        <f>VLOOKUP(B14,学科映射关系!G:G,1,FALSE)</f>
        <v>计算机科学与工程</v>
      </c>
    </row>
    <row r="15" spans="1:5" ht="15.75">
      <c r="A15" s="2" t="s">
        <v>4</v>
      </c>
      <c r="B15" s="2" t="s">
        <v>22</v>
      </c>
      <c r="C15" s="2" t="s">
        <v>22</v>
      </c>
      <c r="D15" t="s">
        <v>22</v>
      </c>
      <c r="E15" t="str">
        <f>VLOOKUP(B15,学科映射关系!G:G,1,FALSE)</f>
        <v>土木工程</v>
      </c>
    </row>
    <row r="16" spans="1:5" ht="16.5">
      <c r="A16" s="2" t="s">
        <v>4</v>
      </c>
      <c r="B16" s="2" t="s">
        <v>23</v>
      </c>
      <c r="C16" s="3" t="s">
        <v>24</v>
      </c>
      <c r="D16" t="s">
        <v>23</v>
      </c>
      <c r="E16" t="str">
        <f>VLOOKUP(B16,学科映射关系!G:G,1,FALSE)</f>
        <v>化学工程</v>
      </c>
    </row>
    <row r="17" spans="1:5" ht="15.75">
      <c r="A17" s="2" t="s">
        <v>4</v>
      </c>
      <c r="B17" s="2" t="s">
        <v>25</v>
      </c>
      <c r="C17" s="2" t="s">
        <v>25</v>
      </c>
      <c r="D17" t="s">
        <v>25</v>
      </c>
      <c r="E17" t="str">
        <f>VLOOKUP(B17,学科映射关系!G:G,1,FALSE)</f>
        <v>材料科学与工程</v>
      </c>
    </row>
    <row r="18" spans="1:5" ht="15.75">
      <c r="A18" s="2" t="s">
        <v>4</v>
      </c>
      <c r="B18" s="2" t="s">
        <v>26</v>
      </c>
      <c r="C18" s="4" t="s">
        <v>27</v>
      </c>
      <c r="D18" t="s">
        <v>26</v>
      </c>
      <c r="E18" t="str">
        <f>VLOOKUP(B18,学科映射关系!G:G,1,FALSE)</f>
        <v>纳米科学与技术</v>
      </c>
    </row>
    <row r="19" spans="1:5" ht="16.5">
      <c r="A19" s="2" t="s">
        <v>4</v>
      </c>
      <c r="B19" s="2" t="s">
        <v>28</v>
      </c>
      <c r="C19" s="3" t="s">
        <v>29</v>
      </c>
      <c r="D19" t="s">
        <v>28</v>
      </c>
      <c r="E19" t="str">
        <f>VLOOKUP(B19,学科映射关系!G:G,1,FALSE)</f>
        <v>能源科学与工程</v>
      </c>
    </row>
    <row r="20" spans="1:5" ht="15.75">
      <c r="A20" s="2" t="s">
        <v>4</v>
      </c>
      <c r="B20" s="2" t="s">
        <v>30</v>
      </c>
      <c r="C20" s="2" t="s">
        <v>30</v>
      </c>
      <c r="D20" t="s">
        <v>30</v>
      </c>
      <c r="E20" t="str">
        <f>VLOOKUP(B20,学科映射关系!G:G,1,FALSE)</f>
        <v>环境科学与工程</v>
      </c>
    </row>
    <row r="21" spans="1:5" ht="15.75">
      <c r="A21" s="2" t="s">
        <v>4</v>
      </c>
      <c r="B21" s="2" t="s">
        <v>31</v>
      </c>
      <c r="C21" s="2" t="s">
        <v>32</v>
      </c>
      <c r="D21" t="s">
        <v>31</v>
      </c>
      <c r="E21" t="str">
        <f>VLOOKUP(B21,学科映射关系!G:G,1,FALSE)</f>
        <v>水资源工程</v>
      </c>
    </row>
    <row r="22" spans="1:5" ht="15.75">
      <c r="A22" s="2" t="s">
        <v>4</v>
      </c>
      <c r="B22" s="2" t="s">
        <v>33</v>
      </c>
      <c r="C22" s="2" t="s">
        <v>33</v>
      </c>
      <c r="D22" t="s">
        <v>33</v>
      </c>
      <c r="E22" t="str">
        <f>VLOOKUP(B22,学科映射关系!G:G,1,FALSE)</f>
        <v>食品科学与工程</v>
      </c>
    </row>
    <row r="23" spans="1:5" ht="15.75">
      <c r="A23" s="2" t="s">
        <v>4</v>
      </c>
      <c r="B23" s="2" t="s">
        <v>34</v>
      </c>
      <c r="C23" s="2" t="s">
        <v>34</v>
      </c>
      <c r="D23" t="s">
        <v>34</v>
      </c>
      <c r="E23" t="str">
        <f>VLOOKUP(B23,学科映射关系!G:G,1,FALSE)</f>
        <v>生物工程</v>
      </c>
    </row>
    <row r="24" spans="1:5" ht="16.5">
      <c r="A24" s="2" t="s">
        <v>4</v>
      </c>
      <c r="B24" s="2" t="s">
        <v>35</v>
      </c>
      <c r="C24" s="3" t="s">
        <v>36</v>
      </c>
      <c r="D24" t="s">
        <v>35</v>
      </c>
      <c r="E24" t="str">
        <f>VLOOKUP(B24,学科映射关系!G:G,1,FALSE)</f>
        <v>航空航天工程</v>
      </c>
    </row>
    <row r="25" spans="1:5" ht="15.75">
      <c r="A25" s="2" t="s">
        <v>4</v>
      </c>
      <c r="B25" s="2" t="s">
        <v>37</v>
      </c>
      <c r="C25" s="2" t="s">
        <v>37</v>
      </c>
      <c r="D25" t="s">
        <v>37</v>
      </c>
      <c r="E25" t="str">
        <f>VLOOKUP(B25,学科映射关系!G:G,1,FALSE)</f>
        <v>船舶与海洋工程</v>
      </c>
    </row>
    <row r="26" spans="1:5" ht="15.75">
      <c r="A26" s="2" t="s">
        <v>4</v>
      </c>
      <c r="B26" s="2" t="s">
        <v>38</v>
      </c>
      <c r="C26" s="2" t="s">
        <v>38</v>
      </c>
      <c r="D26" t="s">
        <v>38</v>
      </c>
      <c r="E26" t="str">
        <f>VLOOKUP(B26,学科映射关系!G:G,1,FALSE)</f>
        <v>交通运输工程</v>
      </c>
    </row>
    <row r="27" spans="1:5" ht="16.5">
      <c r="A27" s="2" t="s">
        <v>4</v>
      </c>
      <c r="B27" s="2" t="s">
        <v>39</v>
      </c>
      <c r="C27" s="3" t="s">
        <v>40</v>
      </c>
      <c r="D27" t="s">
        <v>39</v>
      </c>
      <c r="E27" t="str">
        <f>VLOOKUP(B27,学科映射关系!G:G,1,FALSE)</f>
        <v>遥感技术</v>
      </c>
    </row>
    <row r="28" spans="1:5" ht="15.75">
      <c r="A28" s="2" t="s">
        <v>4</v>
      </c>
      <c r="B28" s="2" t="s">
        <v>41</v>
      </c>
      <c r="C28" s="2" t="s">
        <v>41</v>
      </c>
      <c r="D28" t="s">
        <v>41</v>
      </c>
      <c r="E28" t="str">
        <f>VLOOKUP(B28,学科映射关系!G:G,1,FALSE)</f>
        <v>矿业工程</v>
      </c>
    </row>
    <row r="29" spans="1:5" ht="15.75">
      <c r="A29" s="2" t="s">
        <v>4</v>
      </c>
      <c r="B29" s="2" t="s">
        <v>42</v>
      </c>
      <c r="C29" s="2" t="s">
        <v>42</v>
      </c>
      <c r="D29" t="s">
        <v>42</v>
      </c>
      <c r="E29" t="str">
        <f>VLOOKUP(B29,学科映射关系!G:G,1,FALSE)</f>
        <v>冶金工程</v>
      </c>
    </row>
    <row r="30" spans="1:5" ht="15.75">
      <c r="A30" s="2" t="s">
        <v>4</v>
      </c>
      <c r="B30" s="2" t="s">
        <v>43</v>
      </c>
      <c r="C30" s="2" t="s">
        <v>43</v>
      </c>
      <c r="D30" t="s">
        <v>43</v>
      </c>
      <c r="E30" t="str">
        <f>VLOOKUP(B30,学科映射关系!G:G,1,FALSE)</f>
        <v>生物学</v>
      </c>
    </row>
    <row r="31" spans="1:5" ht="15.75">
      <c r="A31" s="2" t="s">
        <v>4</v>
      </c>
      <c r="B31" s="2" t="s">
        <v>44</v>
      </c>
      <c r="C31" s="2" t="s">
        <v>44</v>
      </c>
      <c r="D31" t="s">
        <v>44</v>
      </c>
      <c r="E31" t="str">
        <f>VLOOKUP(B31,学科映射关系!G:G,1,FALSE)</f>
        <v>基础医学</v>
      </c>
    </row>
    <row r="32" spans="1:5" ht="16.5">
      <c r="A32" s="2" t="s">
        <v>4</v>
      </c>
      <c r="B32" s="12" t="s">
        <v>45</v>
      </c>
      <c r="C32" s="13" t="s">
        <v>46</v>
      </c>
      <c r="D32" s="8" t="s">
        <v>45</v>
      </c>
      <c r="E32" s="8" t="e">
        <f>VLOOKUP(B32,学科映射关系!G:G,1,FALSE)</f>
        <v>#N/A</v>
      </c>
    </row>
    <row r="33" spans="1:5" ht="15.75">
      <c r="A33" s="2" t="s">
        <v>4</v>
      </c>
      <c r="B33" s="2" t="s">
        <v>47</v>
      </c>
      <c r="C33" s="2" t="s">
        <v>47</v>
      </c>
      <c r="D33" t="s">
        <v>47</v>
      </c>
      <c r="E33" t="str">
        <f>VLOOKUP(B33,学科映射关系!G:G,1,FALSE)</f>
        <v>兽医学</v>
      </c>
    </row>
    <row r="34" spans="1:5" ht="15.75">
      <c r="A34" s="2" t="s">
        <v>4</v>
      </c>
      <c r="B34" s="2" t="s">
        <v>48</v>
      </c>
      <c r="C34" s="2" t="s">
        <v>48</v>
      </c>
      <c r="D34" t="s">
        <v>48</v>
      </c>
      <c r="E34" t="str">
        <f>VLOOKUP(B34,学科映射关系!G:G,1,FALSE)</f>
        <v>临床医学</v>
      </c>
    </row>
    <row r="35" spans="1:5" ht="15.75">
      <c r="A35" s="2" t="s">
        <v>4</v>
      </c>
      <c r="B35" s="2" t="s">
        <v>49</v>
      </c>
      <c r="C35" s="5" t="s">
        <v>50</v>
      </c>
      <c r="D35" t="s">
        <v>49</v>
      </c>
      <c r="E35" t="str">
        <f>VLOOKUP(B35,学科映射关系!G:G,1,FALSE)</f>
        <v>公共卫生</v>
      </c>
    </row>
    <row r="36" spans="1:5" ht="15.75">
      <c r="A36" s="2" t="s">
        <v>4</v>
      </c>
      <c r="B36" s="2" t="s">
        <v>51</v>
      </c>
      <c r="C36" s="2" t="s">
        <v>51</v>
      </c>
      <c r="D36" t="s">
        <v>51</v>
      </c>
      <c r="E36" t="str">
        <f>VLOOKUP(B36,学科映射关系!G:G,1,FALSE)</f>
        <v>口腔医学</v>
      </c>
    </row>
    <row r="37" spans="1:5" ht="15.75">
      <c r="A37" s="2" t="s">
        <v>4</v>
      </c>
      <c r="B37" s="2" t="s">
        <v>52</v>
      </c>
      <c r="C37" s="2" t="s">
        <v>52</v>
      </c>
      <c r="D37" t="s">
        <v>52</v>
      </c>
      <c r="E37" t="str">
        <f>VLOOKUP(B37,学科映射关系!G:G,1,FALSE)</f>
        <v>护理学</v>
      </c>
    </row>
    <row r="38" spans="1:5" ht="15.75">
      <c r="A38" s="2" t="s">
        <v>4</v>
      </c>
      <c r="B38" s="12" t="s">
        <v>53</v>
      </c>
      <c r="C38" s="12"/>
      <c r="D38" s="8" t="s">
        <v>53</v>
      </c>
      <c r="E38" s="8" t="e">
        <f>VLOOKUP(B38,学科映射关系!G:G,1,FALSE)</f>
        <v>#N/A</v>
      </c>
    </row>
    <row r="39" spans="1:5" ht="15.75">
      <c r="A39" s="2" t="s">
        <v>4</v>
      </c>
      <c r="B39" s="2" t="s">
        <v>54</v>
      </c>
      <c r="C39" s="2" t="s">
        <v>54</v>
      </c>
      <c r="D39" t="s">
        <v>54</v>
      </c>
      <c r="E39" t="str">
        <f>VLOOKUP(B39,学科映射关系!G:G,1,FALSE)</f>
        <v>药学</v>
      </c>
    </row>
    <row r="40" spans="1:5" ht="16.5">
      <c r="A40" s="2" t="s">
        <v>4</v>
      </c>
      <c r="B40" s="12" t="s">
        <v>55</v>
      </c>
      <c r="C40" s="13" t="s">
        <v>56</v>
      </c>
      <c r="D40" s="8" t="s">
        <v>55</v>
      </c>
      <c r="E40" s="8" t="str">
        <f>VLOOKUP(B40,学科映射关系!G:G,1,FALSE)</f>
        <v>经济学</v>
      </c>
    </row>
    <row r="41" spans="1:5" ht="15.75">
      <c r="A41" s="2" t="s">
        <v>4</v>
      </c>
      <c r="B41" s="2" t="s">
        <v>57</v>
      </c>
      <c r="C41" s="2" t="s">
        <v>57</v>
      </c>
      <c r="D41" t="s">
        <v>57</v>
      </c>
      <c r="E41" t="str">
        <f>VLOOKUP(B41,学科映射关系!G:G,1,FALSE)</f>
        <v>统计学</v>
      </c>
    </row>
    <row r="42" spans="1:5" ht="15.75">
      <c r="A42" s="2" t="s">
        <v>4</v>
      </c>
      <c r="B42" s="2" t="s">
        <v>58</v>
      </c>
      <c r="C42" s="2" t="s">
        <v>58</v>
      </c>
      <c r="D42" t="s">
        <v>58</v>
      </c>
      <c r="E42" t="str">
        <f>VLOOKUP(B42,学科映射关系!G:G,1,FALSE)</f>
        <v>法学</v>
      </c>
    </row>
    <row r="43" spans="1:5" ht="15.75">
      <c r="A43" s="2" t="s">
        <v>4</v>
      </c>
      <c r="B43" s="2" t="s">
        <v>59</v>
      </c>
      <c r="C43" s="2" t="s">
        <v>59</v>
      </c>
      <c r="D43" t="s">
        <v>59</v>
      </c>
      <c r="E43" t="str">
        <f>VLOOKUP(B43,学科映射关系!G:G,1,FALSE)</f>
        <v>政治学</v>
      </c>
    </row>
    <row r="44" spans="1:5" ht="15.75">
      <c r="A44" s="2" t="s">
        <v>4</v>
      </c>
      <c r="B44" s="2" t="s">
        <v>60</v>
      </c>
      <c r="C44" s="2" t="s">
        <v>60</v>
      </c>
      <c r="D44" t="s">
        <v>60</v>
      </c>
      <c r="E44" t="str">
        <f>VLOOKUP(B44,学科映射关系!G:G,1,FALSE)</f>
        <v>社会学</v>
      </c>
    </row>
    <row r="45" spans="1:5" ht="15.75">
      <c r="A45" s="2" t="s">
        <v>4</v>
      </c>
      <c r="B45" s="2" t="s">
        <v>61</v>
      </c>
      <c r="C45" s="2" t="s">
        <v>61</v>
      </c>
      <c r="D45" t="s">
        <v>61</v>
      </c>
      <c r="E45" t="str">
        <f>VLOOKUP(B45,学科映射关系!G:G,1,FALSE)</f>
        <v>教育学</v>
      </c>
    </row>
    <row r="46" spans="1:5" ht="15.75">
      <c r="A46" s="2" t="s">
        <v>4</v>
      </c>
      <c r="B46" s="2" t="s">
        <v>62</v>
      </c>
      <c r="C46" s="2" t="s">
        <v>62</v>
      </c>
      <c r="D46" t="s">
        <v>62</v>
      </c>
      <c r="E46" t="str">
        <f>VLOOKUP(B46,学科映射关系!G:G,1,FALSE)</f>
        <v>新闻传播学</v>
      </c>
    </row>
    <row r="47" spans="1:5" ht="15.75">
      <c r="A47" s="2" t="s">
        <v>4</v>
      </c>
      <c r="B47" s="2" t="s">
        <v>63</v>
      </c>
      <c r="C47" s="2" t="s">
        <v>63</v>
      </c>
      <c r="D47" t="s">
        <v>63</v>
      </c>
      <c r="E47" t="str">
        <f>VLOOKUP(B47,学科映射关系!G:G,1,FALSE)</f>
        <v>心理学</v>
      </c>
    </row>
    <row r="48" spans="1:5" ht="15.75">
      <c r="A48" s="2" t="s">
        <v>4</v>
      </c>
      <c r="B48" s="2" t="s">
        <v>64</v>
      </c>
      <c r="C48" s="4" t="s">
        <v>65</v>
      </c>
      <c r="D48" t="s">
        <v>64</v>
      </c>
      <c r="E48" t="str">
        <f>VLOOKUP(B48,学科映射关系!G:G,1,FALSE)</f>
        <v>工商管理</v>
      </c>
    </row>
    <row r="49" spans="1:5" ht="16.5">
      <c r="A49" s="2" t="s">
        <v>4</v>
      </c>
      <c r="B49" s="2" t="s">
        <v>66</v>
      </c>
      <c r="C49" s="3" t="s">
        <v>67</v>
      </c>
      <c r="D49" t="s">
        <v>66</v>
      </c>
      <c r="E49" t="e">
        <f>VLOOKUP(B49,学科映射关系!G:G,1,FALSE)</f>
        <v>#N/A</v>
      </c>
    </row>
    <row r="50" spans="1:5" ht="16.5">
      <c r="A50" s="2" t="s">
        <v>4</v>
      </c>
      <c r="B50" s="2" t="s">
        <v>68</v>
      </c>
      <c r="C50" s="3" t="s">
        <v>69</v>
      </c>
      <c r="D50" t="s">
        <v>68</v>
      </c>
      <c r="E50" t="str">
        <f>VLOOKUP(B50,学科映射关系!G:G,1,FALSE)</f>
        <v>管理学</v>
      </c>
    </row>
    <row r="51" spans="1:5" ht="15.75">
      <c r="A51" s="2" t="s">
        <v>4</v>
      </c>
      <c r="B51" s="2" t="s">
        <v>70</v>
      </c>
      <c r="C51" s="4" t="s">
        <v>71</v>
      </c>
      <c r="D51" t="s">
        <v>70</v>
      </c>
      <c r="E51" t="str">
        <f>VLOOKUP(B51,学科映射关系!G:G,1,FALSE)</f>
        <v>公共管理</v>
      </c>
    </row>
    <row r="52" spans="1:5" ht="16.5">
      <c r="A52" s="2" t="s">
        <v>4</v>
      </c>
      <c r="B52" s="12" t="s">
        <v>72</v>
      </c>
      <c r="C52" s="13" t="s">
        <v>65</v>
      </c>
      <c r="D52" s="8" t="s">
        <v>72</v>
      </c>
      <c r="E52" s="8" t="e">
        <f>VLOOKUP(B52,学科映射关系!G:G,1,FALSE)</f>
        <v>#N/A</v>
      </c>
    </row>
    <row r="53" spans="1:5" ht="15.75">
      <c r="A53" s="2" t="s">
        <v>4</v>
      </c>
      <c r="B53" s="2" t="s">
        <v>73</v>
      </c>
      <c r="C53" s="2" t="s">
        <v>74</v>
      </c>
      <c r="D53" t="s">
        <v>73</v>
      </c>
      <c r="E53" t="str">
        <f>VLOOKUP(B53,学科映射关系!G:G,1,FALSE)</f>
        <v>图书情报科学</v>
      </c>
    </row>
    <row r="54" spans="1:5" ht="15.75">
      <c r="A54" s="2" t="s">
        <v>4</v>
      </c>
      <c r="B54" s="2" t="s">
        <v>75</v>
      </c>
      <c r="C54" s="2" t="s">
        <v>75</v>
      </c>
      <c r="D54" t="s">
        <v>75</v>
      </c>
      <c r="E54" t="str">
        <f>VLOOKUP(B54,学科映射关系!G:G,1,FALSE)</f>
        <v>海洋科学</v>
      </c>
    </row>
    <row r="55" spans="1:5" ht="15.75">
      <c r="A55" s="2" t="s">
        <v>4</v>
      </c>
      <c r="B55" s="2" t="s">
        <v>76</v>
      </c>
      <c r="C55" s="2" t="s">
        <v>76</v>
      </c>
      <c r="D55" t="s">
        <v>76</v>
      </c>
      <c r="E55" t="str">
        <f>VLOOKUP(B55,学科映射关系!G:G,1,FALSE)</f>
        <v>大气科学</v>
      </c>
    </row>
    <row r="56" spans="1:5" ht="15.75">
      <c r="A56" s="2" t="s">
        <v>4</v>
      </c>
      <c r="B56" s="2" t="s">
        <v>77</v>
      </c>
      <c r="C56" s="2" t="s">
        <v>77</v>
      </c>
      <c r="D56" t="s">
        <v>77</v>
      </c>
      <c r="E56" t="str">
        <f>VLOOKUP(B56,学科映射关系!G:G,1,FALSE)</f>
        <v>纺织科学与工程</v>
      </c>
    </row>
    <row r="57" spans="1:5" ht="16.5">
      <c r="A57" s="2" t="s">
        <v>80</v>
      </c>
      <c r="B57" s="2" t="s">
        <v>78</v>
      </c>
      <c r="C57" s="3" t="s">
        <v>79</v>
      </c>
      <c r="D57" t="s">
        <v>78</v>
      </c>
      <c r="E57" t="e">
        <f>VLOOKUP(B57,学科映射关系!H:H,1,FALSE)</f>
        <v>#N/A</v>
      </c>
    </row>
    <row r="58" spans="1:5" ht="16.5">
      <c r="A58" s="2" t="s">
        <v>80</v>
      </c>
      <c r="B58" s="2" t="s">
        <v>81</v>
      </c>
      <c r="C58" s="3" t="s">
        <v>82</v>
      </c>
      <c r="D58" t="s">
        <v>81</v>
      </c>
      <c r="E58" t="e">
        <f>VLOOKUP(B58,学科映射关系!H:H,1,FALSE)</f>
        <v>#N/A</v>
      </c>
    </row>
    <row r="59" spans="1:5" ht="16.5">
      <c r="A59" s="2" t="s">
        <v>80</v>
      </c>
      <c r="B59" s="2" t="s">
        <v>83</v>
      </c>
      <c r="C59" s="3" t="s">
        <v>44</v>
      </c>
      <c r="D59" t="s">
        <v>83</v>
      </c>
      <c r="E59" t="e">
        <f>VLOOKUP(B59,学科映射关系!H:H,1,FALSE)</f>
        <v>#N/A</v>
      </c>
    </row>
    <row r="60" spans="1:5" ht="16.5">
      <c r="A60" s="2" t="s">
        <v>80</v>
      </c>
      <c r="B60" s="2" t="s">
        <v>84</v>
      </c>
      <c r="C60" s="3"/>
      <c r="D60" t="s">
        <v>84</v>
      </c>
      <c r="E60" t="e">
        <f>VLOOKUP(B60,学科映射关系!H:H,1,FALSE)</f>
        <v>#N/A</v>
      </c>
    </row>
    <row r="61" spans="1:5" ht="15.75">
      <c r="A61" s="2" t="s">
        <v>80</v>
      </c>
      <c r="B61" s="2" t="s">
        <v>85</v>
      </c>
      <c r="C61" s="2" t="s">
        <v>85</v>
      </c>
      <c r="D61" t="s">
        <v>85</v>
      </c>
      <c r="E61" t="str">
        <f>VLOOKUP(B61,学科映射关系!H:H,1,FALSE)</f>
        <v>考古学</v>
      </c>
    </row>
    <row r="62" spans="1:5" ht="15.75">
      <c r="A62" s="2" t="s">
        <v>80</v>
      </c>
      <c r="B62" s="2" t="s">
        <v>86</v>
      </c>
      <c r="C62" s="2" t="s">
        <v>86</v>
      </c>
      <c r="D62" t="s">
        <v>86</v>
      </c>
      <c r="E62" t="str">
        <f>VLOOKUP(B62,学科映射关系!H:H,1,FALSE)</f>
        <v>建筑学</v>
      </c>
    </row>
    <row r="63" spans="1:5" ht="16.5">
      <c r="A63" s="2" t="s">
        <v>80</v>
      </c>
      <c r="B63" s="2" t="s">
        <v>87</v>
      </c>
      <c r="C63" s="3" t="s">
        <v>88</v>
      </c>
      <c r="D63" t="s">
        <v>87</v>
      </c>
      <c r="E63" t="str">
        <f>VLOOKUP(B63,学科映射关系!H:H,1,FALSE)</f>
        <v>艺术与设计</v>
      </c>
    </row>
    <row r="64" spans="1:5" ht="16.5">
      <c r="A64" s="2" t="s">
        <v>80</v>
      </c>
      <c r="B64" s="2" t="s">
        <v>89</v>
      </c>
      <c r="C64" s="3" t="s">
        <v>43</v>
      </c>
      <c r="D64" t="s">
        <v>89</v>
      </c>
      <c r="E64" t="str">
        <f>VLOOKUP(B64,学科映射关系!H:H,1,FALSE)</f>
        <v>生物科学</v>
      </c>
    </row>
    <row r="65" spans="1:5" ht="16.5">
      <c r="A65" s="2" t="s">
        <v>80</v>
      </c>
      <c r="B65" s="2" t="s">
        <v>90</v>
      </c>
      <c r="C65" s="3" t="s">
        <v>65</v>
      </c>
      <c r="D65" t="s">
        <v>90</v>
      </c>
      <c r="E65" t="str">
        <f>VLOOKUP(B65,学科映射关系!H:H,1,FALSE)</f>
        <v>商务与管理</v>
      </c>
    </row>
    <row r="66" spans="1:5" ht="15.75">
      <c r="A66" s="2" t="s">
        <v>80</v>
      </c>
      <c r="B66" s="2" t="s">
        <v>6</v>
      </c>
      <c r="C66" s="2" t="s">
        <v>6</v>
      </c>
      <c r="D66" t="s">
        <v>6</v>
      </c>
      <c r="E66" t="e">
        <f>VLOOKUP(B66,学科映射关系!H:H,1,FALSE)</f>
        <v>#N/A</v>
      </c>
    </row>
    <row r="67" spans="1:5" ht="16.5">
      <c r="A67" s="2" t="s">
        <v>80</v>
      </c>
      <c r="B67" s="2" t="s">
        <v>91</v>
      </c>
      <c r="C67" s="3" t="s">
        <v>92</v>
      </c>
      <c r="D67" t="s">
        <v>91</v>
      </c>
      <c r="E67" t="e">
        <f>VLOOKUP(B67,学科映射关系!H:H,1,FALSE)</f>
        <v>#N/A</v>
      </c>
    </row>
    <row r="68" spans="1:5" ht="15.75">
      <c r="A68" s="2" t="s">
        <v>80</v>
      </c>
      <c r="B68" s="2" t="s">
        <v>93</v>
      </c>
      <c r="C68" s="2" t="s">
        <v>62</v>
      </c>
      <c r="D68" t="s">
        <v>93</v>
      </c>
      <c r="E68" t="str">
        <f>VLOOKUP(B68,学科映射关系!H:H,1,FALSE)</f>
        <v>传播与媒体研究</v>
      </c>
    </row>
    <row r="69" spans="1:5" ht="16.5">
      <c r="A69" s="2" t="s">
        <v>80</v>
      </c>
      <c r="B69" s="2" t="s">
        <v>94</v>
      </c>
      <c r="C69" s="3" t="s">
        <v>95</v>
      </c>
      <c r="D69" t="s">
        <v>94</v>
      </c>
      <c r="E69" t="str">
        <f>VLOOKUP(B69,学科映射关系!H:H,1,FALSE)</f>
        <v>计算机科学与信息系统</v>
      </c>
    </row>
    <row r="70" spans="1:5" ht="16.5">
      <c r="A70" s="2" t="s">
        <v>80</v>
      </c>
      <c r="B70" s="2" t="s">
        <v>96</v>
      </c>
      <c r="C70" s="3" t="s">
        <v>51</v>
      </c>
      <c r="D70" t="s">
        <v>96</v>
      </c>
      <c r="E70" t="str">
        <f>VLOOKUP(B70,学科映射关系!H:H,1,FALSE)</f>
        <v>牙科学</v>
      </c>
    </row>
    <row r="71" spans="1:5" ht="15.75">
      <c r="A71" s="2" t="s">
        <v>80</v>
      </c>
      <c r="B71" s="4" t="s">
        <v>97</v>
      </c>
      <c r="C71" s="4" t="s">
        <v>98</v>
      </c>
      <c r="D71" t="s">
        <v>97</v>
      </c>
      <c r="E71" t="str">
        <f>VLOOKUP(B71,学科映射关系!H:H,1,FALSE)</f>
        <v>发展研究</v>
      </c>
    </row>
    <row r="72" spans="1:5" ht="16.5">
      <c r="A72" s="2" t="s">
        <v>80</v>
      </c>
      <c r="B72" s="2" t="s">
        <v>99</v>
      </c>
      <c r="C72" s="3" t="s">
        <v>100</v>
      </c>
      <c r="D72" t="s">
        <v>99</v>
      </c>
      <c r="E72" t="str">
        <f>VLOOKUP(B72,学科映射关系!H:H,1,FALSE)</f>
        <v>地球与海洋科学</v>
      </c>
    </row>
    <row r="73" spans="1:5" ht="16.5">
      <c r="A73" s="2" t="s">
        <v>80</v>
      </c>
      <c r="B73" s="2" t="s">
        <v>101</v>
      </c>
      <c r="C73" s="3" t="s">
        <v>67</v>
      </c>
      <c r="D73" t="s">
        <v>101</v>
      </c>
      <c r="E73" t="str">
        <f>VLOOKUP(B73,学科映射关系!H:H,1,FALSE)</f>
        <v>经济与计量经济学</v>
      </c>
    </row>
    <row r="74" spans="1:5" ht="16.5">
      <c r="A74" s="2" t="s">
        <v>80</v>
      </c>
      <c r="B74" s="2" t="s">
        <v>555</v>
      </c>
      <c r="C74" s="3" t="s">
        <v>61</v>
      </c>
      <c r="D74" t="s">
        <v>102</v>
      </c>
      <c r="E74" t="str">
        <f>VLOOKUP(B74,学科映射关系!H:H,1,FALSE)</f>
        <v>教育与培训</v>
      </c>
    </row>
    <row r="75" spans="1:5" ht="16.5">
      <c r="A75" s="2" t="s">
        <v>80</v>
      </c>
      <c r="B75" s="2" t="s">
        <v>23</v>
      </c>
      <c r="C75" s="3" t="s">
        <v>24</v>
      </c>
      <c r="D75" t="s">
        <v>23</v>
      </c>
      <c r="E75" t="str">
        <f>VLOOKUP(B75,学科映射关系!H:H,1,FALSE)</f>
        <v>化学工程</v>
      </c>
    </row>
    <row r="76" spans="1:5" ht="15.75">
      <c r="A76" s="2" t="s">
        <v>80</v>
      </c>
      <c r="B76" s="2" t="s">
        <v>22</v>
      </c>
      <c r="C76" s="2" t="s">
        <v>22</v>
      </c>
      <c r="D76" t="s">
        <v>22</v>
      </c>
      <c r="E76" t="str">
        <f>VLOOKUP(B76,学科映射关系!H:H,1,FALSE)</f>
        <v>土木工程</v>
      </c>
    </row>
    <row r="77" spans="1:5" ht="16.5">
      <c r="A77" s="2" t="s">
        <v>80</v>
      </c>
      <c r="B77" s="2" t="s">
        <v>103</v>
      </c>
      <c r="C77" s="3" t="s">
        <v>104</v>
      </c>
      <c r="D77" t="s">
        <v>103</v>
      </c>
      <c r="E77" t="str">
        <f>VLOOKUP(B77,学科映射关系!H:H,1,FALSE)</f>
        <v>电子电气工程</v>
      </c>
    </row>
    <row r="78" spans="1:5" ht="16.5">
      <c r="A78" s="2" t="s">
        <v>80</v>
      </c>
      <c r="B78" s="2" t="s">
        <v>105</v>
      </c>
      <c r="C78" s="3" t="s">
        <v>106</v>
      </c>
      <c r="D78" t="s">
        <v>105</v>
      </c>
      <c r="E78" t="e">
        <f>VLOOKUP(B78,学科映射关系!H:H,1,FALSE)</f>
        <v>#N/A</v>
      </c>
    </row>
    <row r="79" spans="1:5" ht="16.5">
      <c r="A79" s="2" t="s">
        <v>80</v>
      </c>
      <c r="B79" s="2" t="s">
        <v>107</v>
      </c>
      <c r="C79" s="3" t="s">
        <v>41</v>
      </c>
      <c r="D79" t="s">
        <v>107</v>
      </c>
      <c r="E79" t="str">
        <f>VLOOKUP(B79,学科映射关系!H:H,1,FALSE)</f>
        <v>矿物与采矿工程</v>
      </c>
    </row>
    <row r="80" spans="1:5" ht="16.5">
      <c r="A80" s="2" t="s">
        <v>80</v>
      </c>
      <c r="B80" s="2" t="s">
        <v>556</v>
      </c>
      <c r="C80" s="3" t="s">
        <v>109</v>
      </c>
      <c r="D80" t="s">
        <v>108</v>
      </c>
      <c r="E80" t="e">
        <f>VLOOKUP(B80,学科映射关系!H:H,1,FALSE)</f>
        <v>#N/A</v>
      </c>
    </row>
    <row r="81" spans="1:5" ht="16.5">
      <c r="A81" s="2" t="s">
        <v>80</v>
      </c>
      <c r="B81" s="2" t="s">
        <v>110</v>
      </c>
      <c r="C81" s="3" t="s">
        <v>30</v>
      </c>
      <c r="D81" t="s">
        <v>110</v>
      </c>
      <c r="E81" t="str">
        <f>VLOOKUP(B81,学科映射关系!H:H,1,FALSE)</f>
        <v>环境科学</v>
      </c>
    </row>
    <row r="82" spans="1:5" ht="15.75">
      <c r="A82" s="2" t="s">
        <v>80</v>
      </c>
      <c r="B82" s="2" t="s">
        <v>9</v>
      </c>
      <c r="C82" s="2" t="s">
        <v>9</v>
      </c>
      <c r="D82" t="s">
        <v>9</v>
      </c>
      <c r="E82" t="str">
        <f>VLOOKUP(B82,学科映射关系!H:H,1,FALSE)</f>
        <v>地理学</v>
      </c>
    </row>
    <row r="83" spans="1:5" ht="16.5">
      <c r="A83" s="2" t="s">
        <v>80</v>
      </c>
      <c r="B83" s="2" t="s">
        <v>111</v>
      </c>
      <c r="C83" s="3" t="s">
        <v>112</v>
      </c>
      <c r="D83" t="s">
        <v>111</v>
      </c>
      <c r="E83" t="e">
        <f>VLOOKUP(B83,学科映射关系!H:H,1,FALSE)</f>
        <v>#N/A</v>
      </c>
    </row>
    <row r="84" spans="1:5" ht="16.5">
      <c r="A84" s="2" t="s">
        <v>80</v>
      </c>
      <c r="B84" s="2" t="s">
        <v>113</v>
      </c>
      <c r="C84" s="3" t="s">
        <v>65</v>
      </c>
      <c r="D84" t="s">
        <v>113</v>
      </c>
      <c r="E84" t="e">
        <f>VLOOKUP(B84,学科映射关系!H:H,1,FALSE)</f>
        <v>#N/A</v>
      </c>
    </row>
    <row r="85" spans="1:5" ht="16.5">
      <c r="A85" s="2" t="s">
        <v>80</v>
      </c>
      <c r="B85" s="2" t="s">
        <v>114</v>
      </c>
      <c r="C85" s="3" t="s">
        <v>58</v>
      </c>
      <c r="D85" t="s">
        <v>114</v>
      </c>
      <c r="E85" t="e">
        <f>VLOOKUP(B85,学科映射关系!H:H,1,FALSE)</f>
        <v>#N/A</v>
      </c>
    </row>
    <row r="86" spans="1:5" ht="15.75">
      <c r="A86" s="2" t="s">
        <v>80</v>
      </c>
      <c r="B86" s="2" t="s">
        <v>115</v>
      </c>
      <c r="C86" s="2" t="s">
        <v>74</v>
      </c>
      <c r="D86" t="s">
        <v>115</v>
      </c>
      <c r="E86" t="str">
        <f>VLOOKUP(B86,学科映射关系!H:H,1,FALSE)</f>
        <v>图书馆信息管理</v>
      </c>
    </row>
    <row r="87" spans="1:5" ht="16.5">
      <c r="A87" s="2" t="s">
        <v>80</v>
      </c>
      <c r="B87" s="2" t="s">
        <v>116</v>
      </c>
      <c r="C87" s="3" t="s">
        <v>117</v>
      </c>
      <c r="D87" t="s">
        <v>116</v>
      </c>
      <c r="E87" t="e">
        <f>VLOOKUP(B87,学科映射关系!H:H,1,FALSE)</f>
        <v>#N/A</v>
      </c>
    </row>
    <row r="88" spans="1:5" ht="15.75">
      <c r="A88" s="2" t="s">
        <v>80</v>
      </c>
      <c r="B88" s="2" t="s">
        <v>118</v>
      </c>
      <c r="C88" s="2" t="s">
        <v>25</v>
      </c>
      <c r="D88" t="s">
        <v>118</v>
      </c>
      <c r="E88" t="str">
        <f>VLOOKUP(B88,学科映射关系!H:H,1,FALSE)</f>
        <v>材料科学</v>
      </c>
    </row>
    <row r="89" spans="1:5" ht="15.75">
      <c r="A89" s="2" t="s">
        <v>80</v>
      </c>
      <c r="B89" s="2" t="s">
        <v>3</v>
      </c>
      <c r="C89" s="2" t="s">
        <v>3</v>
      </c>
      <c r="D89" t="s">
        <v>3</v>
      </c>
      <c r="E89" t="str">
        <f>VLOOKUP(B89,学科映射关系!H:H,1,FALSE)</f>
        <v>数学</v>
      </c>
    </row>
    <row r="90" spans="1:5" ht="16.5">
      <c r="A90" s="2" t="s">
        <v>80</v>
      </c>
      <c r="B90" s="2" t="s">
        <v>119</v>
      </c>
      <c r="C90" s="3" t="s">
        <v>120</v>
      </c>
      <c r="D90" t="s">
        <v>119</v>
      </c>
      <c r="E90" t="str">
        <f>VLOOKUP(B90,学科映射关系!H:H,1,FALSE)</f>
        <v>医学</v>
      </c>
    </row>
    <row r="91" spans="1:5" ht="15.75">
      <c r="A91" s="2" t="s">
        <v>80</v>
      </c>
      <c r="B91" s="2" t="s">
        <v>121</v>
      </c>
      <c r="C91" s="2" t="s">
        <v>109</v>
      </c>
      <c r="D91" t="s">
        <v>121</v>
      </c>
      <c r="E91" t="e">
        <f>VLOOKUP(B91,学科映射关系!H:H,1,FALSE)</f>
        <v>#N/A</v>
      </c>
    </row>
    <row r="92" spans="1:5" ht="15.75">
      <c r="A92" s="2" t="s">
        <v>80</v>
      </c>
      <c r="B92" s="2" t="s">
        <v>52</v>
      </c>
      <c r="C92" s="2" t="s">
        <v>52</v>
      </c>
      <c r="D92" t="s">
        <v>52</v>
      </c>
      <c r="E92" t="str">
        <f>VLOOKUP(B92,学科映射关系!H:H,1,FALSE)</f>
        <v>护理学</v>
      </c>
    </row>
    <row r="93" spans="1:5" ht="16.5">
      <c r="A93" s="2" t="s">
        <v>80</v>
      </c>
      <c r="B93" s="2" t="s">
        <v>122</v>
      </c>
      <c r="C93" s="3" t="s">
        <v>123</v>
      </c>
      <c r="D93" t="s">
        <v>122</v>
      </c>
      <c r="E93" t="str">
        <f>VLOOKUP(B93,学科映射关系!H:H,1,FALSE)</f>
        <v>表演艺术</v>
      </c>
    </row>
    <row r="94" spans="1:5" ht="16.5">
      <c r="A94" s="2" t="s">
        <v>80</v>
      </c>
      <c r="B94" s="2" t="s">
        <v>124</v>
      </c>
      <c r="C94" s="3" t="s">
        <v>54</v>
      </c>
      <c r="D94" t="s">
        <v>124</v>
      </c>
      <c r="E94" t="str">
        <f>VLOOKUP(B94,学科映射关系!H:H,1,FALSE)</f>
        <v>药剂与药理学</v>
      </c>
    </row>
    <row r="95" spans="1:5" ht="15.75">
      <c r="A95" s="2" t="s">
        <v>80</v>
      </c>
      <c r="B95" s="2" t="s">
        <v>125</v>
      </c>
      <c r="C95" s="2" t="s">
        <v>125</v>
      </c>
      <c r="D95" t="s">
        <v>125</v>
      </c>
      <c r="E95" t="str">
        <f>VLOOKUP(B95,学科映射关系!H:H,1,FALSE)</f>
        <v>哲学</v>
      </c>
    </row>
    <row r="96" spans="1:5" ht="16.5">
      <c r="A96" s="2" t="s">
        <v>80</v>
      </c>
      <c r="B96" s="2" t="s">
        <v>126</v>
      </c>
      <c r="C96" s="3" t="s">
        <v>127</v>
      </c>
      <c r="D96" t="s">
        <v>126</v>
      </c>
      <c r="E96" t="str">
        <f>VLOOKUP(B96,学科映射关系!H:H,1,FALSE)</f>
        <v>物理与天文学</v>
      </c>
    </row>
    <row r="97" spans="1:5" ht="15.75">
      <c r="A97" s="2" t="s">
        <v>80</v>
      </c>
      <c r="B97" s="2" t="s">
        <v>59</v>
      </c>
      <c r="C97" s="2" t="s">
        <v>59</v>
      </c>
      <c r="D97" t="s">
        <v>59</v>
      </c>
      <c r="E97" t="str">
        <f>VLOOKUP(B97,学科映射关系!H:H,1,FALSE)</f>
        <v>政治学</v>
      </c>
    </row>
    <row r="98" spans="1:5" ht="15.75">
      <c r="A98" s="2" t="s">
        <v>80</v>
      </c>
      <c r="B98" s="2" t="s">
        <v>63</v>
      </c>
      <c r="C98" s="2" t="s">
        <v>63</v>
      </c>
      <c r="D98" t="s">
        <v>63</v>
      </c>
      <c r="E98" t="str">
        <f>VLOOKUP(B98,学科映射关系!H:H,1,FALSE)</f>
        <v>心理学</v>
      </c>
    </row>
    <row r="99" spans="1:5" ht="16.5">
      <c r="A99" s="2" t="s">
        <v>80</v>
      </c>
      <c r="B99" s="2" t="s">
        <v>128</v>
      </c>
      <c r="C99" s="3" t="s">
        <v>71</v>
      </c>
      <c r="D99" t="s">
        <v>128</v>
      </c>
      <c r="E99" t="str">
        <f>VLOOKUP(B99,学科映射关系!H:H,1,FALSE)</f>
        <v>社会政策与行政管理</v>
      </c>
    </row>
    <row r="100" spans="1:5" ht="15.75">
      <c r="A100" s="2" t="s">
        <v>80</v>
      </c>
      <c r="B100" s="2" t="s">
        <v>60</v>
      </c>
      <c r="C100" s="2" t="s">
        <v>60</v>
      </c>
      <c r="D100" t="s">
        <v>60</v>
      </c>
      <c r="E100" t="str">
        <f>VLOOKUP(B100,学科映射关系!H:H,1,FALSE)</f>
        <v>社会学</v>
      </c>
    </row>
    <row r="101" spans="1:5" ht="16.5">
      <c r="A101" s="2" t="s">
        <v>80</v>
      </c>
      <c r="B101" s="2" t="s">
        <v>129</v>
      </c>
      <c r="C101" s="3" t="s">
        <v>130</v>
      </c>
      <c r="D101" t="s">
        <v>129</v>
      </c>
      <c r="E101" t="str">
        <f>VLOOKUP(B101,学科映射关系!H:H,1,FALSE)</f>
        <v>体育相关学科</v>
      </c>
    </row>
    <row r="102" spans="1:5" ht="16.5">
      <c r="A102" s="2" t="s">
        <v>80</v>
      </c>
      <c r="B102" s="2" t="s">
        <v>131</v>
      </c>
      <c r="C102" s="6" t="s">
        <v>132</v>
      </c>
      <c r="D102" t="s">
        <v>131</v>
      </c>
      <c r="E102" t="str">
        <f>VLOOKUP(B102,学科映射关系!H:H,1,FALSE)</f>
        <v>统计与运筹学</v>
      </c>
    </row>
    <row r="103" spans="1:5" ht="15.75">
      <c r="A103" s="2" t="s">
        <v>80</v>
      </c>
      <c r="B103" s="2" t="s">
        <v>133</v>
      </c>
      <c r="C103" s="2"/>
      <c r="D103" t="s">
        <v>133</v>
      </c>
      <c r="E103" t="e">
        <f>VLOOKUP(B103,学科映射关系!H:H,1,FALSE)</f>
        <v>#N/A</v>
      </c>
    </row>
    <row r="104" spans="1:5" ht="15.75">
      <c r="A104" s="2" t="s">
        <v>80</v>
      </c>
      <c r="B104" s="2" t="s">
        <v>47</v>
      </c>
      <c r="C104" s="2" t="s">
        <v>47</v>
      </c>
      <c r="D104" t="s">
        <v>47</v>
      </c>
      <c r="E104" t="str">
        <f>VLOOKUP(B104,学科映射关系!H:H,1,FALSE)</f>
        <v>兽医学</v>
      </c>
    </row>
    <row r="105" spans="1:5" ht="16.5">
      <c r="A105" s="2" t="s">
        <v>80</v>
      </c>
      <c r="B105" s="2" t="s">
        <v>99</v>
      </c>
      <c r="C105" s="3" t="s">
        <v>134</v>
      </c>
      <c r="D105" t="s">
        <v>99</v>
      </c>
      <c r="E105" t="str">
        <f>VLOOKUP(B105,学科映射关系!H:H,1,FALSE)</f>
        <v>地球与海洋科学</v>
      </c>
    </row>
    <row r="106" spans="1:5" ht="16.5">
      <c r="A106" s="2" t="s">
        <v>80</v>
      </c>
      <c r="B106" s="2" t="s">
        <v>135</v>
      </c>
      <c r="C106" s="3" t="s">
        <v>136</v>
      </c>
      <c r="D106" t="s">
        <v>135</v>
      </c>
      <c r="E106" t="str">
        <f>VLOOKUP(B106,学科映射关系!H:H,1,FALSE)</f>
        <v>石油工程学</v>
      </c>
    </row>
    <row r="107" spans="1:5" ht="15.75">
      <c r="A107" s="2" t="s">
        <v>80</v>
      </c>
      <c r="B107" s="2" t="s">
        <v>137</v>
      </c>
      <c r="C107" s="2" t="s">
        <v>137</v>
      </c>
      <c r="D107" t="s">
        <v>137</v>
      </c>
      <c r="E107" t="str">
        <f>VLOOKUP(B107,学科映射关系!H:H,1,FALSE)</f>
        <v>地质学</v>
      </c>
    </row>
    <row r="108" spans="1:5" ht="15.75">
      <c r="A108" s="2" t="s">
        <v>80</v>
      </c>
      <c r="B108" s="2" t="s">
        <v>138</v>
      </c>
      <c r="C108" s="2" t="s">
        <v>138</v>
      </c>
      <c r="D108" t="s">
        <v>138</v>
      </c>
      <c r="E108" t="str">
        <f>VLOOKUP(B108,学科映射关系!H:H,1,FALSE)</f>
        <v>地球物理学</v>
      </c>
    </row>
    <row r="109" spans="1:5" ht="15.75">
      <c r="A109" s="2" t="s">
        <v>80</v>
      </c>
      <c r="B109" s="2" t="s">
        <v>11</v>
      </c>
      <c r="C109" s="2" t="s">
        <v>11</v>
      </c>
      <c r="D109" t="s">
        <v>11</v>
      </c>
      <c r="E109" t="str">
        <f>VLOOKUP(B109,学科映射关系!H:H,1,FALSE)</f>
        <v>机械工程</v>
      </c>
    </row>
    <row r="110" spans="1:5" ht="15.75">
      <c r="A110" s="2" t="s">
        <v>80</v>
      </c>
      <c r="B110" s="2" t="s">
        <v>139</v>
      </c>
      <c r="C110" s="2"/>
      <c r="D110" t="s">
        <v>139</v>
      </c>
      <c r="E110" t="e">
        <f>VLOOKUP(B110,学科映射关系!H:H,1,FALSE)</f>
        <v>#N/A</v>
      </c>
    </row>
    <row r="111" spans="1:5" ht="15.75">
      <c r="A111" s="2" t="s">
        <v>80</v>
      </c>
      <c r="B111" s="2" t="s">
        <v>140</v>
      </c>
      <c r="C111" s="2"/>
      <c r="D111" t="s">
        <v>140</v>
      </c>
      <c r="E111" t="e">
        <f>VLOOKUP(B111,学科映射关系!H:H,1,FALSE)</f>
        <v>#N/A</v>
      </c>
    </row>
    <row r="112" spans="1:5" ht="16.5">
      <c r="A112" s="2" t="s">
        <v>80</v>
      </c>
      <c r="B112" s="2" t="s">
        <v>141</v>
      </c>
      <c r="C112" s="3" t="s">
        <v>123</v>
      </c>
      <c r="D112" t="s">
        <v>141</v>
      </c>
      <c r="E112" t="e">
        <f>VLOOKUP(B112,学科映射关系!H:H,1,FALSE)</f>
        <v>#N/A</v>
      </c>
    </row>
    <row r="113" spans="1:5" ht="15.75">
      <c r="A113" s="2" t="s">
        <v>80</v>
      </c>
      <c r="B113" s="2" t="s">
        <v>142</v>
      </c>
      <c r="C113" s="2" t="s">
        <v>123</v>
      </c>
      <c r="D113" t="s">
        <v>142</v>
      </c>
      <c r="E113" t="e">
        <f>VLOOKUP(B113,学科映射关系!H:H,1,FALSE)</f>
        <v>#N/A</v>
      </c>
    </row>
    <row r="114" spans="1:5" ht="15.75">
      <c r="A114" s="2" t="s">
        <v>80</v>
      </c>
      <c r="B114" s="2" t="s">
        <v>554</v>
      </c>
      <c r="C114" s="2"/>
      <c r="D114" t="s">
        <v>143</v>
      </c>
      <c r="E114" t="str">
        <f>VLOOKUP(B114,学科映射关系!H:H,1,FALSE)</f>
        <v>数据科学与人工智能</v>
      </c>
    </row>
    <row r="115" spans="1:5" ht="15.75">
      <c r="A115" s="2" t="s">
        <v>146</v>
      </c>
      <c r="B115" s="2" t="s">
        <v>144</v>
      </c>
      <c r="C115" s="4" t="s">
        <v>145</v>
      </c>
      <c r="D115" t="s">
        <v>144</v>
      </c>
      <c r="E115" t="e">
        <f>VLOOKUP(B115,学科映射关系!G:G,1,FALSE)</f>
        <v>#N/A</v>
      </c>
    </row>
    <row r="116" spans="1:5" ht="16.5">
      <c r="A116" s="2" t="s">
        <v>146</v>
      </c>
      <c r="B116" s="2" t="s">
        <v>536</v>
      </c>
      <c r="C116" s="3" t="s">
        <v>148</v>
      </c>
      <c r="D116" t="s">
        <v>147</v>
      </c>
      <c r="E116" t="e">
        <f>VLOOKUP(B116,学科映射关系!G:G,1,FALSE)</f>
        <v>#N/A</v>
      </c>
    </row>
    <row r="117" spans="1:5" ht="16.5">
      <c r="A117" s="2" t="s">
        <v>146</v>
      </c>
      <c r="B117" s="2" t="s">
        <v>537</v>
      </c>
      <c r="C117" s="3" t="s">
        <v>150</v>
      </c>
      <c r="D117" t="s">
        <v>149</v>
      </c>
      <c r="E117" t="e">
        <f>VLOOKUP(B117,学科映射关系!G:G,1,FALSE)</f>
        <v>#N/A</v>
      </c>
    </row>
    <row r="118" spans="1:5" ht="16.5">
      <c r="A118" s="2" t="s">
        <v>146</v>
      </c>
      <c r="B118" s="2" t="s">
        <v>538</v>
      </c>
      <c r="C118" s="3" t="s">
        <v>95</v>
      </c>
      <c r="D118" t="s">
        <v>151</v>
      </c>
      <c r="E118" t="e">
        <f>VLOOKUP(B118,学科映射关系!G:G,1,FALSE)</f>
        <v>#N/A</v>
      </c>
    </row>
    <row r="119" spans="1:5" ht="15.75">
      <c r="A119" s="2" t="s">
        <v>146</v>
      </c>
      <c r="B119" s="2" t="s">
        <v>61</v>
      </c>
      <c r="C119" s="2" t="s">
        <v>61</v>
      </c>
      <c r="D119" t="s">
        <v>61</v>
      </c>
      <c r="E119" t="str">
        <f>VLOOKUP(B119,学科映射关系!G:G,1,FALSE)</f>
        <v>教育学</v>
      </c>
    </row>
    <row r="120" spans="1:5" ht="15.75">
      <c r="A120" s="2" t="s">
        <v>146</v>
      </c>
      <c r="B120" s="2" t="s">
        <v>152</v>
      </c>
      <c r="C120" s="4" t="s">
        <v>153</v>
      </c>
      <c r="D120" t="s">
        <v>152</v>
      </c>
      <c r="E120" t="e">
        <f>VLOOKUP(B120,学科映射关系!G:G,1,FALSE)</f>
        <v>#N/A</v>
      </c>
    </row>
    <row r="121" spans="1:5" ht="16.5">
      <c r="A121" s="2" t="s">
        <v>146</v>
      </c>
      <c r="B121" s="2" t="s">
        <v>58</v>
      </c>
      <c r="C121" s="3" t="s">
        <v>58</v>
      </c>
      <c r="D121" t="s">
        <v>58</v>
      </c>
      <c r="E121" t="str">
        <f>VLOOKUP(B121,学科映射关系!G:G,1,FALSE)</f>
        <v>法学</v>
      </c>
    </row>
    <row r="122" spans="1:5" ht="15.75">
      <c r="A122" s="2" t="s">
        <v>146</v>
      </c>
      <c r="B122" s="2" t="s">
        <v>539</v>
      </c>
      <c r="C122" s="4" t="s">
        <v>155</v>
      </c>
      <c r="D122" t="s">
        <v>154</v>
      </c>
      <c r="E122" t="e">
        <f>VLOOKUP(B122,学科映射关系!G:G,1,FALSE)</f>
        <v>#N/A</v>
      </c>
    </row>
    <row r="123" spans="1:5" ht="16.5">
      <c r="A123" s="2" t="s">
        <v>146</v>
      </c>
      <c r="B123" s="2" t="s">
        <v>5</v>
      </c>
      <c r="C123" s="3" t="s">
        <v>5</v>
      </c>
      <c r="D123" t="s">
        <v>5</v>
      </c>
      <c r="E123" t="str">
        <f>VLOOKUP(B123,学科映射关系!G:G,1,FALSE)</f>
        <v>物理学</v>
      </c>
    </row>
    <row r="124" spans="1:5" ht="15.75">
      <c r="A124" s="2" t="s">
        <v>146</v>
      </c>
      <c r="B124" s="2" t="s">
        <v>63</v>
      </c>
      <c r="C124" s="2" t="s">
        <v>63</v>
      </c>
      <c r="D124" t="s">
        <v>63</v>
      </c>
      <c r="E124" t="str">
        <f>VLOOKUP(B124,学科映射关系!G:G,1,FALSE)</f>
        <v>心理学</v>
      </c>
    </row>
    <row r="125" spans="1:5" ht="15.75">
      <c r="A125" s="2" t="s">
        <v>146</v>
      </c>
      <c r="B125" s="2" t="s">
        <v>156</v>
      </c>
      <c r="C125" s="4" t="s">
        <v>157</v>
      </c>
      <c r="D125" t="s">
        <v>156</v>
      </c>
      <c r="E125" t="e">
        <f>VLOOKUP(B125,学科映射关系!G:G,1,FALSE)</f>
        <v>#N/A</v>
      </c>
    </row>
    <row r="126" spans="1:5" ht="16.5">
      <c r="A126" s="2" t="s">
        <v>159</v>
      </c>
      <c r="B126" s="2" t="s">
        <v>158</v>
      </c>
      <c r="C126" s="3" t="s">
        <v>48</v>
      </c>
      <c r="D126" t="s">
        <v>158</v>
      </c>
    </row>
    <row r="127" spans="1:5" ht="16.5">
      <c r="A127" s="2" t="s">
        <v>159</v>
      </c>
      <c r="B127" s="2" t="s">
        <v>160</v>
      </c>
      <c r="C127" s="3" t="s">
        <v>43</v>
      </c>
      <c r="D127" t="s">
        <v>160</v>
      </c>
    </row>
    <row r="128" spans="1:5" ht="15.75">
      <c r="A128" s="2" t="s">
        <v>159</v>
      </c>
      <c r="B128" s="2" t="s">
        <v>550</v>
      </c>
      <c r="C128" s="4" t="s">
        <v>161</v>
      </c>
      <c r="D128" t="s">
        <v>144</v>
      </c>
      <c r="E128" t="str">
        <f>VLOOKUP(B128,学科映射关系!I:I,1,FALSE)</f>
        <v>艺术与人文</v>
      </c>
    </row>
    <row r="129" spans="1:5" ht="16.5">
      <c r="A129" s="2" t="s">
        <v>159</v>
      </c>
      <c r="B129" s="2" t="s">
        <v>162</v>
      </c>
      <c r="C129" s="3" t="s">
        <v>54</v>
      </c>
      <c r="D129" t="s">
        <v>162</v>
      </c>
      <c r="E129" t="str">
        <f>VLOOKUP(B129,学科映射关系!I:I,1,FALSE)</f>
        <v>药理学与毒理学</v>
      </c>
    </row>
    <row r="130" spans="1:5" ht="16.5">
      <c r="A130" s="2" t="s">
        <v>159</v>
      </c>
      <c r="B130" s="2" t="s">
        <v>163</v>
      </c>
      <c r="C130" s="3" t="s">
        <v>48</v>
      </c>
      <c r="D130" t="s">
        <v>163</v>
      </c>
      <c r="E130" t="e">
        <f>VLOOKUP(B130,学科映射关系!I:I,1,FALSE)</f>
        <v>#N/A</v>
      </c>
    </row>
    <row r="131" spans="1:5" ht="16.5">
      <c r="A131" s="2" t="s">
        <v>159</v>
      </c>
      <c r="B131" s="2" t="s">
        <v>541</v>
      </c>
      <c r="C131" s="3" t="s">
        <v>165</v>
      </c>
      <c r="D131" t="s">
        <v>164</v>
      </c>
      <c r="E131" t="e">
        <f>VLOOKUP(B131,学科映射关系!I:I,1,FALSE)</f>
        <v>#N/A</v>
      </c>
    </row>
    <row r="132" spans="1:5" ht="16.5">
      <c r="A132" s="2" t="s">
        <v>159</v>
      </c>
      <c r="B132" s="2" t="s">
        <v>5</v>
      </c>
      <c r="C132" s="3" t="s">
        <v>5</v>
      </c>
      <c r="D132" t="s">
        <v>5</v>
      </c>
    </row>
    <row r="133" spans="1:5" ht="16.5">
      <c r="A133" s="2" t="s">
        <v>159</v>
      </c>
      <c r="B133" s="2" t="s">
        <v>166</v>
      </c>
      <c r="C133" s="3" t="s">
        <v>6</v>
      </c>
      <c r="D133" t="s">
        <v>166</v>
      </c>
      <c r="E133" t="e">
        <f>VLOOKUP(B133,学科映射关系!I:I,1,FALSE)</f>
        <v>#N/A</v>
      </c>
    </row>
    <row r="134" spans="1:5" ht="16.5">
      <c r="A134" s="2" t="s">
        <v>159</v>
      </c>
      <c r="B134" s="2" t="s">
        <v>167</v>
      </c>
      <c r="C134" s="3" t="s">
        <v>43</v>
      </c>
      <c r="D134" t="s">
        <v>167</v>
      </c>
      <c r="E134" t="e">
        <f>VLOOKUP(B134,学科映射关系!I:I,1,FALSE)</f>
        <v>#N/A</v>
      </c>
    </row>
    <row r="135" spans="1:5" ht="16.5">
      <c r="A135" s="2" t="s">
        <v>159</v>
      </c>
      <c r="B135" s="2" t="s">
        <v>168</v>
      </c>
      <c r="C135" s="3" t="s">
        <v>48</v>
      </c>
      <c r="D135" t="s">
        <v>168</v>
      </c>
      <c r="E135" t="e">
        <f>VLOOKUP(B135,学科映射关系!I:I,1,FALSE)</f>
        <v>#N/A</v>
      </c>
    </row>
    <row r="136" spans="1:5" ht="16.5">
      <c r="A136" s="2" t="s">
        <v>159</v>
      </c>
      <c r="B136" s="2" t="s">
        <v>22</v>
      </c>
      <c r="C136" s="3" t="s">
        <v>22</v>
      </c>
      <c r="D136" t="s">
        <v>22</v>
      </c>
      <c r="E136" t="str">
        <f>VLOOKUP(B136,学科映射关系!I:I,1,FALSE)</f>
        <v>土木工程</v>
      </c>
    </row>
    <row r="137" spans="1:5" ht="16.5">
      <c r="A137" s="2" t="s">
        <v>159</v>
      </c>
      <c r="B137" s="2" t="s">
        <v>169</v>
      </c>
      <c r="C137" s="3" t="s">
        <v>32</v>
      </c>
      <c r="D137" t="s">
        <v>169</v>
      </c>
      <c r="E137" t="str">
        <f>VLOOKUP(B137,学科映射关系!I:I,1,FALSE)</f>
        <v>水资源</v>
      </c>
    </row>
    <row r="138" spans="1:5" ht="16.5">
      <c r="A138" s="2" t="s">
        <v>159</v>
      </c>
      <c r="B138" s="2" t="s">
        <v>3</v>
      </c>
      <c r="C138" s="3" t="s">
        <v>3</v>
      </c>
      <c r="D138" t="s">
        <v>3</v>
      </c>
      <c r="E138" t="str">
        <f>VLOOKUP(B138,学科映射关系!I:I,1,FALSE)</f>
        <v>数学</v>
      </c>
    </row>
    <row r="139" spans="1:5" ht="16.5">
      <c r="A139" s="2" t="s">
        <v>159</v>
      </c>
      <c r="B139" s="2" t="s">
        <v>170</v>
      </c>
      <c r="C139" s="3" t="s">
        <v>33</v>
      </c>
      <c r="D139" t="s">
        <v>170</v>
      </c>
      <c r="E139" t="str">
        <f>VLOOKUP(B139,学科映射关系!I:I,1,FALSE)</f>
        <v>食品科学与技术</v>
      </c>
    </row>
    <row r="140" spans="1:5" ht="16.5">
      <c r="A140" s="2" t="s">
        <v>159</v>
      </c>
      <c r="B140" s="2" t="s">
        <v>171</v>
      </c>
      <c r="C140" s="3" t="s">
        <v>43</v>
      </c>
      <c r="D140" t="s">
        <v>171</v>
      </c>
      <c r="E140" t="e">
        <f>VLOOKUP(B140,学科映射关系!I:I,1,FALSE)</f>
        <v>#N/A</v>
      </c>
    </row>
    <row r="141" spans="1:5" ht="16.5">
      <c r="A141" s="2" t="s">
        <v>159</v>
      </c>
      <c r="B141" s="2" t="s">
        <v>172</v>
      </c>
      <c r="C141" s="3" t="s">
        <v>43</v>
      </c>
      <c r="D141" t="s">
        <v>172</v>
      </c>
      <c r="E141" t="e">
        <f>VLOOKUP(B141,学科映射关系!I:I,1,FALSE)</f>
        <v>#N/A</v>
      </c>
    </row>
    <row r="142" spans="1:5" ht="16.5">
      <c r="A142" s="2" t="s">
        <v>159</v>
      </c>
      <c r="B142" s="2" t="s">
        <v>10</v>
      </c>
      <c r="C142" s="3" t="s">
        <v>10</v>
      </c>
      <c r="D142" t="s">
        <v>10</v>
      </c>
      <c r="E142" t="str">
        <f>VLOOKUP(B142,学科映射关系!I:I,1,FALSE)</f>
        <v>生态学</v>
      </c>
    </row>
    <row r="143" spans="1:5" ht="15.75">
      <c r="A143" s="2" t="s">
        <v>159</v>
      </c>
      <c r="B143" s="15" t="s">
        <v>173</v>
      </c>
      <c r="C143" s="2"/>
      <c r="D143" t="s">
        <v>173</v>
      </c>
      <c r="E143" t="e">
        <f>VLOOKUP(B143,学科映射关系!I:I,1,FALSE)</f>
        <v>#N/A</v>
      </c>
    </row>
    <row r="144" spans="1:5" ht="15.75">
      <c r="A144" s="2" t="s">
        <v>159</v>
      </c>
      <c r="B144" s="2" t="s">
        <v>174</v>
      </c>
      <c r="C144" s="2"/>
      <c r="D144" t="s">
        <v>174</v>
      </c>
      <c r="E144" t="e">
        <f>VLOOKUP(B144,学科映射关系!I:I,1,FALSE)</f>
        <v>#N/A</v>
      </c>
    </row>
    <row r="145" spans="1:5" ht="16.5">
      <c r="A145" s="2" t="s">
        <v>159</v>
      </c>
      <c r="B145" s="2" t="s">
        <v>536</v>
      </c>
      <c r="C145" s="3" t="s">
        <v>148</v>
      </c>
      <c r="D145" t="s">
        <v>147</v>
      </c>
      <c r="E145" t="str">
        <f>VLOOKUP(B145,学科映射关系!I:I,1,FALSE)</f>
        <v>商业与经济</v>
      </c>
    </row>
    <row r="146" spans="1:5" ht="16.5">
      <c r="A146" s="2" t="s">
        <v>159</v>
      </c>
      <c r="B146" s="2" t="s">
        <v>175</v>
      </c>
      <c r="C146" s="3" t="s">
        <v>176</v>
      </c>
      <c r="D146" t="s">
        <v>175</v>
      </c>
      <c r="E146" t="str">
        <f>VLOOKUP(B146,学科映射关系!I:I,1,FALSE)</f>
        <v>人工智能</v>
      </c>
    </row>
    <row r="147" spans="1:5" ht="16.5">
      <c r="A147" s="2" t="s">
        <v>159</v>
      </c>
      <c r="B147" s="2" t="s">
        <v>177</v>
      </c>
      <c r="C147" s="3" t="s">
        <v>76</v>
      </c>
      <c r="D147" t="s">
        <v>177</v>
      </c>
      <c r="E147" t="str">
        <f>VLOOKUP(B147,学科映射关系!I:I,1,FALSE)</f>
        <v>气象学和大气科学</v>
      </c>
    </row>
    <row r="148" spans="1:5" ht="16.5">
      <c r="A148" s="2" t="s">
        <v>159</v>
      </c>
      <c r="B148" s="2" t="s">
        <v>178</v>
      </c>
      <c r="C148" s="3" t="s">
        <v>179</v>
      </c>
      <c r="D148" t="s">
        <v>178</v>
      </c>
    </row>
    <row r="149" spans="1:5" ht="16.5">
      <c r="A149" s="2" t="s">
        <v>159</v>
      </c>
      <c r="B149" s="2" t="s">
        <v>552</v>
      </c>
      <c r="C149" s="3" t="s">
        <v>5</v>
      </c>
      <c r="D149" t="s">
        <v>180</v>
      </c>
    </row>
    <row r="150" spans="1:5" ht="16.5">
      <c r="A150" s="2" t="s">
        <v>159</v>
      </c>
      <c r="B150" s="2" t="s">
        <v>181</v>
      </c>
      <c r="C150" s="3" t="s">
        <v>29</v>
      </c>
      <c r="D150" t="s">
        <v>181</v>
      </c>
      <c r="E150" t="str">
        <f>VLOOKUP(B150,学科映射关系!I:I,1,FALSE)</f>
        <v>能源和燃料</v>
      </c>
    </row>
    <row r="151" spans="1:5" ht="16.5">
      <c r="A151" s="2" t="s">
        <v>159</v>
      </c>
      <c r="B151" s="2" t="s">
        <v>182</v>
      </c>
      <c r="C151" s="3" t="s">
        <v>48</v>
      </c>
      <c r="D151" t="s">
        <v>182</v>
      </c>
    </row>
    <row r="152" spans="1:5" ht="16.5">
      <c r="A152" s="2" t="s">
        <v>159</v>
      </c>
      <c r="B152" s="2" t="s">
        <v>183</v>
      </c>
      <c r="C152" s="3" t="s">
        <v>27</v>
      </c>
      <c r="D152" t="s">
        <v>183</v>
      </c>
      <c r="E152" t="str">
        <f>VLOOKUP(B152,学科映射关系!I:I,1,FALSE)</f>
        <v>纳米科学与纳米技术</v>
      </c>
    </row>
    <row r="153" spans="1:5" ht="16.5">
      <c r="A153" s="2" t="s">
        <v>159</v>
      </c>
      <c r="B153" s="2" t="s">
        <v>184</v>
      </c>
      <c r="C153" s="3" t="s">
        <v>44</v>
      </c>
      <c r="D153" t="s">
        <v>184</v>
      </c>
    </row>
    <row r="154" spans="1:5" ht="16.5">
      <c r="A154" s="2" t="s">
        <v>159</v>
      </c>
      <c r="B154" s="15" t="s">
        <v>185</v>
      </c>
      <c r="C154" s="3"/>
      <c r="D154" t="s">
        <v>185</v>
      </c>
    </row>
    <row r="155" spans="1:5" ht="16.5">
      <c r="A155" s="2" t="s">
        <v>159</v>
      </c>
      <c r="B155" s="2" t="s">
        <v>48</v>
      </c>
      <c r="C155" s="3" t="s">
        <v>48</v>
      </c>
      <c r="D155" t="s">
        <v>48</v>
      </c>
    </row>
    <row r="156" spans="1:5" ht="16.5">
      <c r="A156" s="2" t="s">
        <v>159</v>
      </c>
      <c r="B156" s="2" t="s">
        <v>186</v>
      </c>
      <c r="C156" s="3" t="s">
        <v>187</v>
      </c>
      <c r="D156" t="s">
        <v>186</v>
      </c>
      <c r="E156" t="str">
        <f>VLOOKUP(B156,学科映射关系!I:I,1,FALSE)</f>
        <v>空间科学</v>
      </c>
    </row>
    <row r="157" spans="1:5" ht="16.5">
      <c r="A157" s="2" t="s">
        <v>159</v>
      </c>
      <c r="B157" s="2" t="s">
        <v>188</v>
      </c>
      <c r="C157" s="3" t="s">
        <v>63</v>
      </c>
      <c r="D157" t="s">
        <v>188</v>
      </c>
      <c r="E157" t="str">
        <f>VLOOKUP(B157,学科映射关系!I:I,1,FALSE)</f>
        <v>精神病学与心理学</v>
      </c>
    </row>
    <row r="158" spans="1:5" ht="16.5">
      <c r="A158" s="2" t="s">
        <v>159</v>
      </c>
      <c r="B158" s="2" t="s">
        <v>189</v>
      </c>
      <c r="C158" s="3" t="s">
        <v>61</v>
      </c>
      <c r="D158" t="s">
        <v>189</v>
      </c>
      <c r="E158" t="str">
        <f>VLOOKUP(B158,学科映射关系!I:I,1,FALSE)</f>
        <v>教育学和教育研究</v>
      </c>
    </row>
    <row r="159" spans="1:5" ht="16.5">
      <c r="A159" s="2" t="s">
        <v>159</v>
      </c>
      <c r="B159" s="2" t="s">
        <v>151</v>
      </c>
      <c r="C159" s="3" t="s">
        <v>95</v>
      </c>
      <c r="D159" t="s">
        <v>151</v>
      </c>
    </row>
    <row r="160" spans="1:5" ht="16.5">
      <c r="A160" s="2" t="s">
        <v>159</v>
      </c>
      <c r="B160" s="2" t="s">
        <v>11</v>
      </c>
      <c r="C160" s="3" t="s">
        <v>11</v>
      </c>
      <c r="D160" t="s">
        <v>11</v>
      </c>
      <c r="E160" t="str">
        <f>VLOOKUP(B160,学科映射关系!I:I,1,FALSE)</f>
        <v>机械工程</v>
      </c>
    </row>
    <row r="161" spans="1:5" ht="16.5">
      <c r="A161" s="2" t="s">
        <v>159</v>
      </c>
      <c r="B161" s="2" t="s">
        <v>190</v>
      </c>
      <c r="C161" s="3" t="s">
        <v>544</v>
      </c>
      <c r="D161" t="s">
        <v>190</v>
      </c>
    </row>
    <row r="162" spans="1:5" ht="16.5">
      <c r="A162" s="2" t="s">
        <v>159</v>
      </c>
      <c r="B162" s="2" t="s">
        <v>191</v>
      </c>
      <c r="C162" s="3" t="s">
        <v>30</v>
      </c>
      <c r="D162" t="s">
        <v>191</v>
      </c>
    </row>
    <row r="163" spans="1:5" ht="16.5">
      <c r="A163" s="2" t="s">
        <v>159</v>
      </c>
      <c r="B163" s="2" t="s">
        <v>23</v>
      </c>
      <c r="C163" s="3" t="s">
        <v>24</v>
      </c>
      <c r="D163" t="s">
        <v>23</v>
      </c>
      <c r="E163" t="str">
        <f>VLOOKUP(B163,学科映射关系!I:I,1,FALSE)</f>
        <v>化学工程</v>
      </c>
    </row>
    <row r="164" spans="1:5" ht="16.5">
      <c r="A164" s="2" t="s">
        <v>159</v>
      </c>
      <c r="B164" s="2" t="s">
        <v>6</v>
      </c>
      <c r="C164" s="3" t="s">
        <v>6</v>
      </c>
      <c r="D164" t="s">
        <v>6</v>
      </c>
    </row>
    <row r="165" spans="1:5" ht="16.5">
      <c r="A165" s="2" t="s">
        <v>159</v>
      </c>
      <c r="B165" s="2" t="s">
        <v>192</v>
      </c>
      <c r="C165" s="3" t="s">
        <v>75</v>
      </c>
      <c r="D165" t="s">
        <v>192</v>
      </c>
      <c r="E165" t="str">
        <f>VLOOKUP(B165,学科映射关系!I:I,1,FALSE)</f>
        <v>海洋与淡水生物学</v>
      </c>
    </row>
    <row r="166" spans="1:5" ht="16.5">
      <c r="A166" s="2" t="s">
        <v>159</v>
      </c>
      <c r="B166" s="2" t="s">
        <v>193</v>
      </c>
      <c r="C166" s="3" t="s">
        <v>194</v>
      </c>
      <c r="D166" t="s">
        <v>193</v>
      </c>
      <c r="E166" t="str">
        <f>VLOOKUP(B166,学科映射关系!I:I,1,FALSE)</f>
        <v>光学</v>
      </c>
    </row>
    <row r="167" spans="1:5" ht="16.5">
      <c r="A167" s="2" t="s">
        <v>159</v>
      </c>
      <c r="B167" s="2" t="s">
        <v>195</v>
      </c>
      <c r="C167" s="3" t="s">
        <v>50</v>
      </c>
      <c r="D167" t="s">
        <v>195</v>
      </c>
      <c r="E167" t="str">
        <f>VLOOKUP(B167,学科映射关系!I:I,1,FALSE)</f>
        <v>公共、环境和职业健康</v>
      </c>
    </row>
    <row r="168" spans="1:5" ht="16.5">
      <c r="A168" s="2" t="s">
        <v>159</v>
      </c>
      <c r="B168" s="2" t="s">
        <v>196</v>
      </c>
      <c r="C168" s="3"/>
      <c r="D168" t="s">
        <v>196</v>
      </c>
    </row>
    <row r="169" spans="1:5" ht="16.5">
      <c r="A169" s="2" t="s">
        <v>159</v>
      </c>
      <c r="B169" s="2" t="s">
        <v>547</v>
      </c>
      <c r="C169" s="3" t="s">
        <v>548</v>
      </c>
      <c r="D169" t="s">
        <v>197</v>
      </c>
    </row>
    <row r="170" spans="1:5" ht="16.5">
      <c r="A170" s="2" t="s">
        <v>159</v>
      </c>
      <c r="B170" s="2" t="s">
        <v>198</v>
      </c>
      <c r="C170" s="3" t="s">
        <v>43</v>
      </c>
      <c r="D170" t="s">
        <v>198</v>
      </c>
    </row>
    <row r="171" spans="1:5" ht="16.5">
      <c r="A171" s="2" t="s">
        <v>159</v>
      </c>
      <c r="B171" s="2" t="s">
        <v>199</v>
      </c>
      <c r="C171" s="3" t="s">
        <v>48</v>
      </c>
      <c r="D171" t="s">
        <v>199</v>
      </c>
    </row>
    <row r="172" spans="1:5" ht="16.5">
      <c r="A172" s="2" t="s">
        <v>159</v>
      </c>
      <c r="B172" s="2" t="s">
        <v>545</v>
      </c>
      <c r="C172" s="3" t="s">
        <v>13</v>
      </c>
      <c r="D172" t="s">
        <v>200</v>
      </c>
      <c r="E172" t="str">
        <f>VLOOKUP(B172,学科映射关系!I:I,1,FALSE)</f>
        <v>电气与电子工程</v>
      </c>
    </row>
    <row r="173" spans="1:5" ht="16.5">
      <c r="A173" s="2" t="s">
        <v>159</v>
      </c>
      <c r="B173" s="2" t="s">
        <v>546</v>
      </c>
      <c r="C173" s="3" t="s">
        <v>201</v>
      </c>
      <c r="D173" t="s">
        <v>7</v>
      </c>
      <c r="E173" t="str">
        <f>VLOOKUP(B173,学科映射关系!I:I,1,FALSE)</f>
        <v>地球科学</v>
      </c>
    </row>
    <row r="174" spans="1:5" ht="16.5">
      <c r="A174" s="2" t="s">
        <v>159</v>
      </c>
      <c r="B174" s="2" t="s">
        <v>202</v>
      </c>
      <c r="C174" s="3" t="s">
        <v>50</v>
      </c>
      <c r="D174" t="s">
        <v>202</v>
      </c>
    </row>
    <row r="175" spans="1:5" ht="16.5">
      <c r="A175" s="2" t="s">
        <v>159</v>
      </c>
      <c r="B175" s="2" t="s">
        <v>203</v>
      </c>
      <c r="C175" s="3" t="s">
        <v>48</v>
      </c>
      <c r="D175" t="s">
        <v>203</v>
      </c>
    </row>
    <row r="176" spans="1:5" ht="16.5">
      <c r="A176" s="2" t="s">
        <v>159</v>
      </c>
      <c r="B176" s="2" t="s">
        <v>118</v>
      </c>
      <c r="C176" s="3" t="s">
        <v>25</v>
      </c>
      <c r="D176" t="s">
        <v>118</v>
      </c>
    </row>
  </sheetData>
  <autoFilter ref="A1:E17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学科映射关系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2026-05-09T09:40:23Z</dcterms:modified>
</cp:coreProperties>
</file>