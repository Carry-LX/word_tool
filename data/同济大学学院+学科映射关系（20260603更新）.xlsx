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3DA6C798-A4E4-46E9-A533-CD646E561FA4}" xr6:coauthVersionLast="47" xr6:coauthVersionMax="47" xr10:uidLastSave="{00000000-0000-0000-0000-000000000000}"/>
  <bookViews>
    <workbookView xWindow="29610" yWindow="270" windowWidth="27240" windowHeight="1516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<sst xmlns="http://schemas.openxmlformats.org/spreadsheetml/2006/main" count="723" uniqueCount="354">
  <si>
    <t>编号</t>
  </si>
  <si>
    <t>学院</t>
  </si>
  <si>
    <t>学术学位点</t>
  </si>
  <si>
    <t>专业学位点</t>
  </si>
  <si>
    <t>本科专业</t>
  </si>
  <si>
    <t>机械工程</t>
  </si>
  <si>
    <t>机械</t>
  </si>
  <si>
    <t>机械设计制造及其自动化</t>
  </si>
  <si>
    <t>动力工程及工程热物理</t>
  </si>
  <si>
    <t>能源动力</t>
  </si>
  <si>
    <t>智能制造工程</t>
  </si>
  <si>
    <t>能源与动力工程</t>
  </si>
  <si>
    <t>测绘与地理信息学院（一流）</t>
  </si>
  <si>
    <t>测绘科学与技术</t>
  </si>
  <si>
    <t>测绘工程</t>
  </si>
  <si>
    <t>计算机科学与技术学院</t>
  </si>
  <si>
    <t>计算机科学与技术</t>
  </si>
  <si>
    <t>计算机科学与技术（注：可授理学或工学学士学位）</t>
  </si>
  <si>
    <t>软件工程</t>
  </si>
  <si>
    <t>信息安全（注：可授理学、工学或管理学学士学位）</t>
  </si>
  <si>
    <t>数据科学与大数据技术（注：可授理学或工学学士学位）</t>
  </si>
  <si>
    <t>智能电动车辆</t>
  </si>
  <si>
    <t>车辆工程</t>
  </si>
  <si>
    <t>材料科学与工程学院</t>
  </si>
  <si>
    <t>材料科学与工程</t>
  </si>
  <si>
    <t>材料与化工</t>
  </si>
  <si>
    <t>医学院</t>
  </si>
  <si>
    <t>基础医学</t>
  </si>
  <si>
    <t>护理*</t>
  </si>
  <si>
    <t>临床医学</t>
  </si>
  <si>
    <t>生物医学工程</t>
  </si>
  <si>
    <t>康复物理治疗（注：授予理学学士学位）</t>
  </si>
  <si>
    <t>公共卫生与预防医学</t>
  </si>
  <si>
    <t>护理学（注：授予理学学士学位）</t>
  </si>
  <si>
    <t>药学</t>
  </si>
  <si>
    <t>电子与信息工程学院（高峰）</t>
  </si>
  <si>
    <t>控制科学与工程</t>
  </si>
  <si>
    <t>电子信息</t>
  </si>
  <si>
    <t>电气工程及其自动化</t>
  </si>
  <si>
    <t>电气工程</t>
  </si>
  <si>
    <t>通信工程</t>
  </si>
  <si>
    <t>信息与通信工程</t>
  </si>
  <si>
    <t>微电子科学与工程（注：可授理学或工学学士学位）</t>
  </si>
  <si>
    <t>集成电路科学与工程</t>
  </si>
  <si>
    <t>人工智能</t>
  </si>
  <si>
    <t>自动化</t>
  </si>
  <si>
    <t>环境科学与工程学院（一流、高峰）</t>
  </si>
  <si>
    <t>环境科学与工程</t>
  </si>
  <si>
    <t>资源与环境</t>
  </si>
  <si>
    <t>给排水科学与工程</t>
  </si>
  <si>
    <t>环境科学（注：可授理学或工学学士学位）</t>
  </si>
  <si>
    <t>土木工程学院（一流、高峰、未来）</t>
  </si>
  <si>
    <t>土木工程</t>
  </si>
  <si>
    <t>土木水利</t>
  </si>
  <si>
    <t>地质资源与地质工程</t>
  </si>
  <si>
    <t>地质工程</t>
  </si>
  <si>
    <t>智能建造</t>
  </si>
  <si>
    <t>交通学院（高峰）</t>
  </si>
  <si>
    <t>交通运输工程</t>
  </si>
  <si>
    <t>交通运输</t>
  </si>
  <si>
    <t>低空技术与工程</t>
  </si>
  <si>
    <t>交通工程</t>
  </si>
  <si>
    <t>建筑与城市规划学院（一流、高峰）</t>
  </si>
  <si>
    <t>建筑学</t>
  </si>
  <si>
    <t>建筑*</t>
  </si>
  <si>
    <t>城乡规划学</t>
  </si>
  <si>
    <t>城乡规划*</t>
  </si>
  <si>
    <t>城乡规划</t>
  </si>
  <si>
    <t>风景园林</t>
  </si>
  <si>
    <t>风景园林（注：可授工学或艺术学学士学位）</t>
  </si>
  <si>
    <t>历史建筑保护工程</t>
  </si>
  <si>
    <t>城市设计</t>
  </si>
  <si>
    <t>建筑环境与能源应用工程</t>
  </si>
  <si>
    <t>设计创意学院（一流、高峰）</t>
  </si>
  <si>
    <t>设计学</t>
  </si>
  <si>
    <t>设计</t>
  </si>
  <si>
    <t>工业设计</t>
  </si>
  <si>
    <t>艺术设计学</t>
  </si>
  <si>
    <t>海洋与地球科学学院（高峰）</t>
  </si>
  <si>
    <t>海洋科学</t>
  </si>
  <si>
    <t>海洋科学与技术</t>
  </si>
  <si>
    <t>地球物理学</t>
  </si>
  <si>
    <t>物理科学与工程学院</t>
  </si>
  <si>
    <t>物理学</t>
  </si>
  <si>
    <t>应用物理学</t>
  </si>
  <si>
    <t>光电科学与技术</t>
  </si>
  <si>
    <t>光电信息科学与工程（注：可授理学或工学学士学位）</t>
  </si>
  <si>
    <t>数学科学学院</t>
  </si>
  <si>
    <t>数学</t>
  </si>
  <si>
    <t>应用统计*</t>
  </si>
  <si>
    <t>数学与应用数学</t>
  </si>
  <si>
    <t>统计学</t>
  </si>
  <si>
    <t>生命科学与技术学院（一流、高峰）</t>
  </si>
  <si>
    <t>生物学</t>
  </si>
  <si>
    <t>生物与医药</t>
  </si>
  <si>
    <t>生物技术（注：可授理学或工学学士学位）</t>
  </si>
  <si>
    <t>口腔医学院</t>
  </si>
  <si>
    <t>口腔医学</t>
  </si>
  <si>
    <t>化学科学与工程学院</t>
  </si>
  <si>
    <t>化学</t>
  </si>
  <si>
    <t>应用化学（注：可授理学或工学学士学位）</t>
  </si>
  <si>
    <t>航空航天与力学学院（高峰）</t>
  </si>
  <si>
    <t>力学</t>
  </si>
  <si>
    <t>工程力学</t>
  </si>
  <si>
    <t>航空宇航科学与技术</t>
  </si>
  <si>
    <t>飞行器制造工程</t>
  </si>
  <si>
    <t>人文学院</t>
  </si>
  <si>
    <t>哲学</t>
  </si>
  <si>
    <t>应用心理</t>
  </si>
  <si>
    <t>中国语言文学</t>
  </si>
  <si>
    <t>汉语言文学</t>
  </si>
  <si>
    <t>文化产业管理（注：可授管理学或艺术学学士学位）</t>
  </si>
  <si>
    <t>外国语学院</t>
  </si>
  <si>
    <t>外国语言文学</t>
  </si>
  <si>
    <t>翻译</t>
  </si>
  <si>
    <t>英语</t>
  </si>
  <si>
    <t>区域国别学</t>
  </si>
  <si>
    <t>德语</t>
  </si>
  <si>
    <t>日语</t>
  </si>
  <si>
    <t>经济与管理学院（高峰）</t>
  </si>
  <si>
    <t>管理科学与工程</t>
  </si>
  <si>
    <t>金融*</t>
  </si>
  <si>
    <t>金融学</t>
  </si>
  <si>
    <t>工商管理</t>
  </si>
  <si>
    <t>工商管理*</t>
  </si>
  <si>
    <t>信息管理与信息系统（注：可授工学或管理学学士学位）</t>
  </si>
  <si>
    <t>公共管理</t>
  </si>
  <si>
    <t>公共管理*</t>
  </si>
  <si>
    <t>工程管理（注：可授工学或管理学学士学位）</t>
  </si>
  <si>
    <t>应用经济学</t>
  </si>
  <si>
    <t>会计</t>
  </si>
  <si>
    <t>会计学</t>
  </si>
  <si>
    <t>政治与国际关系学院</t>
  </si>
  <si>
    <t>政治学</t>
  </si>
  <si>
    <t>政治学与行政学</t>
  </si>
  <si>
    <t>艺术与传媒学院</t>
  </si>
  <si>
    <t>新闻传播学</t>
  </si>
  <si>
    <t>新闻与传播*</t>
  </si>
  <si>
    <t>传播学</t>
  </si>
  <si>
    <t>戏剧与影视</t>
  </si>
  <si>
    <t>音乐表演</t>
  </si>
  <si>
    <t>表演</t>
  </si>
  <si>
    <t>广播电视编导</t>
  </si>
  <si>
    <t>动画</t>
  </si>
  <si>
    <t>国际知识产权学院</t>
  </si>
  <si>
    <t>知识产权学</t>
  </si>
  <si>
    <t>知识产权*</t>
  </si>
  <si>
    <t>马克思主义学院</t>
  </si>
  <si>
    <t>马克思主义理论</t>
  </si>
  <si>
    <t>职业技术教育学院、中德学院、体育教学部</t>
  </si>
  <si>
    <t>教育学</t>
  </si>
  <si>
    <t>教育</t>
  </si>
  <si>
    <t>运动训练</t>
  </si>
  <si>
    <t>体育</t>
  </si>
  <si>
    <t>国际文化交流学院</t>
  </si>
  <si>
    <t>国际中文教育</t>
  </si>
  <si>
    <t>法学院</t>
  </si>
  <si>
    <t>法学</t>
  </si>
  <si>
    <t>法律</t>
  </si>
  <si>
    <t>上海自主智能无人系统科学中心</t>
  </si>
  <si>
    <t>智能科学与技术</t>
  </si>
  <si>
    <t>中德工程学院</t>
  </si>
  <si>
    <t>机械电子工程</t>
  </si>
  <si>
    <t>建筑电气与智能化</t>
  </si>
  <si>
    <t>国际足球学院</t>
  </si>
  <si>
    <t>继续教育学院</t>
  </si>
  <si>
    <t>占比</t>
  </si>
  <si>
    <t>数量</t>
  </si>
  <si>
    <t>经济学</t>
  </si>
  <si>
    <t>文学</t>
  </si>
  <si>
    <t>理学</t>
  </si>
  <si>
    <t>工学</t>
  </si>
  <si>
    <t>医学</t>
  </si>
  <si>
    <t>管理学</t>
  </si>
  <si>
    <t>交叉学科</t>
  </si>
  <si>
    <t>0807</t>
  </si>
  <si>
    <t>0816</t>
  </si>
  <si>
    <t>0812</t>
  </si>
  <si>
    <t>0835</t>
  </si>
  <si>
    <t>0805</t>
  </si>
  <si>
    <t>1001</t>
  </si>
  <si>
    <t>1002</t>
  </si>
  <si>
    <t>0831</t>
  </si>
  <si>
    <t>1004</t>
  </si>
  <si>
    <t>1007</t>
  </si>
  <si>
    <t>0811</t>
  </si>
  <si>
    <t>0808</t>
  </si>
  <si>
    <t>0810</t>
  </si>
  <si>
    <t>0830</t>
  </si>
  <si>
    <t>0814</t>
  </si>
  <si>
    <t>0818</t>
  </si>
  <si>
    <t>0823</t>
  </si>
  <si>
    <t>0813</t>
  </si>
  <si>
    <t>0833</t>
  </si>
  <si>
    <t>1403</t>
  </si>
  <si>
    <t>0707</t>
  </si>
  <si>
    <t>0708</t>
  </si>
  <si>
    <t>0702</t>
  </si>
  <si>
    <t>0701</t>
  </si>
  <si>
    <t>0710</t>
  </si>
  <si>
    <t>1003</t>
  </si>
  <si>
    <t>0703</t>
  </si>
  <si>
    <t>0801</t>
  </si>
  <si>
    <t>0825</t>
  </si>
  <si>
    <t>0101</t>
  </si>
  <si>
    <t>0501</t>
  </si>
  <si>
    <t>0502</t>
  </si>
  <si>
    <t>1201</t>
  </si>
  <si>
    <t>1251</t>
  </si>
  <si>
    <t>1252</t>
  </si>
  <si>
    <t>0202</t>
  </si>
  <si>
    <t>0302</t>
  </si>
  <si>
    <t>0503</t>
  </si>
  <si>
    <t>0305</t>
  </si>
  <si>
    <t>0401</t>
  </si>
  <si>
    <t>0301</t>
  </si>
  <si>
    <t>一级学科学科代码</t>
    <phoneticPr fontId="5" type="noConversion"/>
  </si>
  <si>
    <t>第五轮评估结果</t>
  </si>
  <si>
    <t>层次级别</t>
  </si>
  <si>
    <t>是否双一流学科</t>
  </si>
  <si>
    <t>上海市高峰高原</t>
  </si>
  <si>
    <t>博士一级</t>
  </si>
  <si>
    <t>B+</t>
  </si>
  <si>
    <t>未来学科（自主智能机器人）</t>
  </si>
  <si>
    <t>B</t>
  </si>
  <si>
    <t>A</t>
  </si>
  <si>
    <t>双一流</t>
  </si>
  <si>
    <t>A-</t>
  </si>
  <si>
    <t>硕士一级</t>
  </si>
  <si>
    <t>C+</t>
  </si>
  <si>
    <t>B-</t>
  </si>
  <si>
    <t>A+</t>
  </si>
  <si>
    <t>IV类高峰（环境与生态）</t>
  </si>
  <si>
    <t>Ⅰ类高峰，未来学科（极端环境建造）</t>
  </si>
  <si>
    <t>Ⅱ类高峰</t>
  </si>
  <si>
    <t>Ⅰ类高峰</t>
  </si>
  <si>
    <t>IV类高峰（干细胞与转化）</t>
  </si>
  <si>
    <t>IV类高峰（飞行器力学与控制）</t>
  </si>
  <si>
    <t>D</t>
  </si>
  <si>
    <t>未参评</t>
  </si>
  <si>
    <t>竞争性专项（马克思主义学院）</t>
  </si>
  <si>
    <t>汽车与能源学院</t>
    <phoneticPr fontId="5" type="noConversion"/>
  </si>
  <si>
    <t>机械与机器人学院</t>
    <phoneticPr fontId="5" type="noConversion"/>
  </si>
  <si>
    <t>QS对应的学科名称</t>
    <phoneticPr fontId="5" type="noConversion"/>
  </si>
  <si>
    <t>软科世界一流学科对应名称</t>
    <phoneticPr fontId="5" type="noConversion"/>
  </si>
  <si>
    <t>U.S.NEWS学科排名对应名称</t>
    <phoneticPr fontId="5" type="noConversion"/>
  </si>
  <si>
    <t>THE对应领域</t>
    <phoneticPr fontId="5" type="noConversion"/>
  </si>
  <si>
    <t>无</t>
  </si>
  <si>
    <t>计算机科学与信息系统</t>
  </si>
  <si>
    <t>材料科学</t>
  </si>
  <si>
    <t>药剂与药理学</t>
  </si>
  <si>
    <t>数据科学与人工智能</t>
  </si>
  <si>
    <t>电子电气工程</t>
  </si>
  <si>
    <t>环境科学</t>
  </si>
  <si>
    <t>地质学</t>
  </si>
  <si>
    <t>艺术与设计</t>
  </si>
  <si>
    <t>地球与海洋科学</t>
  </si>
  <si>
    <t>物理与天文学</t>
  </si>
  <si>
    <t>生物科学</t>
  </si>
  <si>
    <t>统计与运筹学</t>
  </si>
  <si>
    <t>商务与管理</t>
  </si>
  <si>
    <t>经济与计量经济学</t>
  </si>
  <si>
    <t>1407</t>
    <phoneticPr fontId="5" type="noConversion"/>
  </si>
  <si>
    <t>1401</t>
    <phoneticPr fontId="5" type="noConversion"/>
  </si>
  <si>
    <t>0802</t>
    <phoneticPr fontId="5" type="noConversion"/>
  </si>
  <si>
    <t>能源科学与工程</t>
  </si>
  <si>
    <t>计算机科学与工程</t>
  </si>
  <si>
    <t>公共卫生</t>
  </si>
  <si>
    <t>电力电子工程</t>
  </si>
  <si>
    <t>地球科学</t>
  </si>
  <si>
    <t>航空航天工程</t>
  </si>
  <si>
    <t>能源和燃料</t>
  </si>
  <si>
    <t>计算机科学</t>
  </si>
  <si>
    <t>公共、环境和职业健康</t>
  </si>
  <si>
    <t>药理学与毒理学</t>
  </si>
  <si>
    <t>电气与电子工程</t>
  </si>
  <si>
    <t>艺术与人文</t>
  </si>
  <si>
    <t>海洋与淡水生物学</t>
  </si>
  <si>
    <t>商业与经济</t>
  </si>
  <si>
    <t>社会科学</t>
  </si>
  <si>
    <t>教育学和教育研究</t>
  </si>
  <si>
    <t>计算机科学与信息系统</t>
    <phoneticPr fontId="5" type="noConversion"/>
  </si>
  <si>
    <t>人工智能</t>
    <phoneticPr fontId="5" type="noConversion"/>
  </si>
  <si>
    <t>计算机科学</t>
    <phoneticPr fontId="5" type="noConversion"/>
  </si>
  <si>
    <t>哲学</t>
    <phoneticPr fontId="5" type="noConversion"/>
  </si>
  <si>
    <t>机械工程</t>
    <phoneticPr fontId="5" type="noConversion"/>
  </si>
  <si>
    <t>weh of science论文学科代码</t>
    <phoneticPr fontId="5" type="noConversion"/>
  </si>
  <si>
    <t>0802 Mechanical Engineering</t>
  </si>
  <si>
    <t>0807 Power Engineering and Engineering Thermophysics</t>
  </si>
  <si>
    <t>0816 Surveying and Mapping</t>
  </si>
  <si>
    <t>0812 Computer Science and Technology</t>
  </si>
  <si>
    <t>0835 Software Engineering</t>
  </si>
  <si>
    <t>0805 Materials Science and Engineering</t>
  </si>
  <si>
    <t>1001 Basic Medicine</t>
  </si>
  <si>
    <t>1002 Clinical Medicine</t>
  </si>
  <si>
    <t>0831 Biomedical Engineering</t>
  </si>
  <si>
    <t>1004 Public Health and Preventive Medicine</t>
  </si>
  <si>
    <t>1007 Pharmaceutical Science</t>
  </si>
  <si>
    <t>0811 Control Science and Engineering</t>
  </si>
  <si>
    <t>0808 Electrical Engineering</t>
  </si>
  <si>
    <t>0810 Information and Communication Engineering</t>
  </si>
  <si>
    <t>0830 Environmental Science and Engineering</t>
  </si>
  <si>
    <t>0814 Civil Engineering</t>
  </si>
  <si>
    <t>0818 Geological Resources and Geological Engineering</t>
  </si>
  <si>
    <t>0823 Transportation Engineering</t>
  </si>
  <si>
    <t>0813 Architecture</t>
  </si>
  <si>
    <t>0833 Urban and Rural Planning</t>
  </si>
  <si>
    <t>0707 Marine Science</t>
  </si>
  <si>
    <t>0708 Geophysics</t>
  </si>
  <si>
    <t>0702 Physics</t>
  </si>
  <si>
    <t>0701 Mathematics</t>
  </si>
  <si>
    <t>0710 Biology</t>
  </si>
  <si>
    <t>1003 Stomatology</t>
  </si>
  <si>
    <t>0703 Chemistry</t>
  </si>
  <si>
    <t>0801 Mechanics</t>
  </si>
  <si>
    <t>0825 Aerospace Science and Technology</t>
  </si>
  <si>
    <t>0101 Philosophy</t>
  </si>
  <si>
    <t>0502 Foreign Language and Literature</t>
  </si>
  <si>
    <t>1201 Management Science and Engineering</t>
  </si>
  <si>
    <t>0202 Applied Economics</t>
  </si>
  <si>
    <t>0302 Political Science</t>
  </si>
  <si>
    <t>0503 Journalism and Communication</t>
  </si>
  <si>
    <t>0401 Education</t>
  </si>
  <si>
    <t>0301 Law</t>
  </si>
  <si>
    <t>医学与健康</t>
  </si>
  <si>
    <t>工学</t>
    <phoneticPr fontId="5" type="noConversion"/>
  </si>
  <si>
    <t>材料科学</t>
    <phoneticPr fontId="5" type="noConversion"/>
  </si>
  <si>
    <t>高分子科学</t>
    <phoneticPr fontId="5" type="noConversion"/>
  </si>
  <si>
    <t>免疫学</t>
    <phoneticPr fontId="5" type="noConversion"/>
  </si>
  <si>
    <t>细胞生物学</t>
    <phoneticPr fontId="5" type="noConversion"/>
  </si>
  <si>
    <t>肿瘤学</t>
    <phoneticPr fontId="5" type="noConversion"/>
  </si>
  <si>
    <t>心脏及心血管系统</t>
    <phoneticPr fontId="5" type="noConversion"/>
  </si>
  <si>
    <t>外科学</t>
    <phoneticPr fontId="5" type="noConversion"/>
  </si>
  <si>
    <t>内分泌代谢</t>
    <phoneticPr fontId="5" type="noConversion"/>
  </si>
  <si>
    <t>临床医学</t>
    <phoneticPr fontId="5" type="noConversion"/>
  </si>
  <si>
    <t>放射核医学医学影像学</t>
    <phoneticPr fontId="5" type="noConversion"/>
  </si>
  <si>
    <t>肠胃病学肝病学</t>
    <phoneticPr fontId="5" type="noConversion"/>
  </si>
  <si>
    <t>环境科学与工程</t>
    <phoneticPr fontId="5" type="noConversion"/>
  </si>
  <si>
    <t>生态学</t>
    <phoneticPr fontId="5" type="noConversion"/>
  </si>
  <si>
    <t>植物与动物科学</t>
    <phoneticPr fontId="5" type="noConversion"/>
  </si>
  <si>
    <t>微生物学</t>
    <phoneticPr fontId="5" type="noConversion"/>
  </si>
  <si>
    <t>生物学与生物化学</t>
    <phoneticPr fontId="5" type="noConversion"/>
  </si>
  <si>
    <t>生物技术应用微生物学</t>
    <phoneticPr fontId="5" type="noConversion"/>
  </si>
  <si>
    <t>分子生物与遗传</t>
    <phoneticPr fontId="5" type="noConversion"/>
  </si>
  <si>
    <t>化学工程</t>
    <phoneticPr fontId="5" type="noConversion"/>
  </si>
  <si>
    <t>化学</t>
    <phoneticPr fontId="5" type="noConversion"/>
  </si>
  <si>
    <t>物理化学</t>
    <phoneticPr fontId="5" type="noConversion"/>
  </si>
  <si>
    <t>现代语言文学</t>
    <phoneticPr fontId="5" type="noConversion"/>
  </si>
  <si>
    <t>英语语言文学</t>
    <phoneticPr fontId="5" type="noConversion"/>
  </si>
  <si>
    <t>物理学</t>
    <phoneticPr fontId="5" type="noConversion"/>
  </si>
  <si>
    <t>凝聚态物理学</t>
    <phoneticPr fontId="5" type="noConversion"/>
  </si>
  <si>
    <t>法律及法律研究</t>
    <phoneticPr fontId="5" type="noConversion"/>
  </si>
  <si>
    <t>金融学</t>
    <phoneticPr fontId="5" type="noConversion"/>
  </si>
  <si>
    <t>经济学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</si>
</sst>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color theme="1"/>
      <name val="仿宋_GB2312"/>
      <charset val="134"/>
    </font>
    <font>
      <sz val="11"/>
      <name val="仿宋_GB2312"/>
      <family val="3"/>
      <charset val="134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仿宋_GB2312"/>
      <family val="3"/>
      <charset val="134"/>
    </font>
    <font>
      <sz val="11"/>
      <color rgb="FFFF0000"/>
      <name val="等线"/>
      <family val="3"/>
      <charset val="134"/>
      <scheme val="minor"/>
    </font>
    <font>
      <b/>
      <sz val="11"/>
      <name val="仿宋_GB2312"/>
      <family val="3"/>
      <charset val="134"/>
    </font>
    <font>
      <sz val="1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3" fillId="0" borderId="6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>
      <alignment vertical="center"/>
    </xf>
    <xf numFmtId="0" fontId="6" fillId="3" borderId="6" xfId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1" fillId="0" borderId="0" xfId="0" applyNumberFormat="1" applyFont="1">
      <alignment vertical="center"/>
    </xf>
    <xf numFmtId="0" fontId="7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4" borderId="0" xfId="0" applyFont="1" applyFill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49" fontId="6" fillId="3" borderId="0" xfId="0" applyNumberFormat="1" applyFont="1" applyFill="1">
      <alignment vertical="center"/>
    </xf>
    <xf numFmtId="0" fontId="6" fillId="3" borderId="0" xfId="0" applyFont="1" applyFill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Fill="1">
      <alignment vertical="center"/>
    </xf>
    <xf numFmtId="0" fontId="8" fillId="0" borderId="3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zoomScale="90" zoomScaleNormal="90" workbookViewId="0">
      <pane xSplit="6" ySplit="1" topLeftCell="K68" activePane="bottomRight" state="frozen"/>
      <selection pane="topRight" activeCell="G1" sqref="G1"/>
      <selection pane="bottomLeft" activeCell="A2" sqref="A2"/>
      <selection pane="bottomRight" activeCell="P1" sqref="P1:P1048576"/>
    </sheetView>
  </sheetViews>
  <sheetFormatPr defaultColWidth="9.25" defaultRowHeight="13.5" x14ac:dyDescent="0.15"/>
  <cols>
    <col min="1" max="1" width="9.25" style="3"/>
    <col min="2" max="2" width="42.5" style="4" customWidth="1"/>
    <col min="3" max="3" width="22.625" style="4" customWidth="1"/>
    <col min="4" max="4" width="14.125" style="4" hidden="1" customWidth="1"/>
    <col min="5" max="5" width="48" style="4" hidden="1" customWidth="1"/>
    <col min="6" max="6" width="15.5" style="21" customWidth="1"/>
    <col min="7" max="7" width="9.625" style="4" customWidth="1"/>
    <col min="8" max="8" width="10.875" style="4" customWidth="1"/>
    <col min="9" max="9" width="13.25" style="4" customWidth="1"/>
    <col min="10" max="10" width="18.375" style="4" customWidth="1"/>
    <col min="11" max="11" width="20.625" style="4" customWidth="1"/>
    <col min="12" max="12" width="35.625" style="4" customWidth="1"/>
    <col min="13" max="13" width="25.875" style="4" customWidth="1"/>
    <col min="14" max="14" width="20.625" style="4" customWidth="1"/>
    <col min="15" max="15" width="30.375" style="4" customWidth="1"/>
    <col min="16" max="16384" width="9.25" style="4"/>
  </cols>
  <sheetData>
    <row r="1" spans="1:15" s="22" customFormat="1" ht="36" customHeight="1" x14ac:dyDescent="0.15">
      <c r="A1" s="23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24" t="s">
        <v>216</v>
      </c>
      <c r="G1" s="25" t="s">
        <v>218</v>
      </c>
      <c r="H1" s="25" t="s">
        <v>217</v>
      </c>
      <c r="I1" s="25" t="s">
        <v>219</v>
      </c>
      <c r="J1" s="25" t="s">
        <v>220</v>
      </c>
      <c r="K1" s="26" t="s">
        <v>244</v>
      </c>
      <c r="L1" s="26" t="s">
        <v>243</v>
      </c>
      <c r="M1" s="26" t="s">
        <v>245</v>
      </c>
      <c r="N1" s="26" t="s">
        <v>246</v>
      </c>
      <c r="O1" s="22" t="s">
        <v>286</v>
      </c>
    </row>
    <row r="2" spans="1:15" ht="24.95" customHeight="1" x14ac:dyDescent="0.15">
      <c r="A2" s="44">
        <v>1</v>
      </c>
      <c r="B2" s="35" t="s">
        <v>242</v>
      </c>
      <c r="C2" s="8" t="s">
        <v>5</v>
      </c>
      <c r="D2" s="8" t="s">
        <v>6</v>
      </c>
      <c r="E2" s="9" t="s">
        <v>7</v>
      </c>
      <c r="F2" s="27" t="s">
        <v>264</v>
      </c>
      <c r="G2" s="28" t="s">
        <v>221</v>
      </c>
      <c r="H2" s="28" t="s">
        <v>222</v>
      </c>
      <c r="I2" s="28"/>
      <c r="J2" s="28" t="s">
        <v>223</v>
      </c>
      <c r="K2" s="28" t="s">
        <v>5</v>
      </c>
      <c r="L2" s="28" t="s">
        <v>5</v>
      </c>
      <c r="M2" s="28" t="s">
        <v>285</v>
      </c>
      <c r="N2" s="28" t="s">
        <v>325</v>
      </c>
      <c r="O2" s="4" t="s">
        <v>287</v>
      </c>
    </row>
    <row r="3" spans="1:15" ht="25.15" customHeight="1" x14ac:dyDescent="0.15">
      <c r="A3" s="44"/>
      <c r="B3" s="36"/>
      <c r="C3" s="8" t="s">
        <v>8</v>
      </c>
      <c r="D3" s="8" t="s">
        <v>9</v>
      </c>
      <c r="E3" s="9" t="s">
        <v>10</v>
      </c>
      <c r="F3" s="27" t="s">
        <v>175</v>
      </c>
      <c r="G3" s="28" t="s">
        <v>221</v>
      </c>
      <c r="H3" s="28" t="s">
        <v>224</v>
      </c>
      <c r="I3" s="28"/>
      <c r="J3" s="28"/>
      <c r="K3" s="28" t="s">
        <v>265</v>
      </c>
      <c r="L3" s="28" t="s">
        <v>247</v>
      </c>
      <c r="M3" s="28" t="s">
        <v>271</v>
      </c>
      <c r="N3" s="28" t="s">
        <v>325</v>
      </c>
      <c r="O3" s="4" t="s">
        <v>288</v>
      </c>
    </row>
    <row r="4" spans="1:15" ht="25.15" customHeight="1" x14ac:dyDescent="0.15">
      <c r="A4" s="44"/>
      <c r="B4" s="36"/>
      <c r="C4" s="8"/>
      <c r="D4" s="8"/>
      <c r="E4" s="9" t="s">
        <v>11</v>
      </c>
      <c r="F4" s="27"/>
      <c r="G4" s="28"/>
      <c r="H4" s="28"/>
      <c r="I4" s="28"/>
      <c r="J4" s="28"/>
      <c r="K4" s="28"/>
      <c r="L4" s="28"/>
      <c r="M4" s="28"/>
      <c r="N4" s="28"/>
    </row>
    <row r="5" spans="1:15" ht="25.15" customHeight="1" x14ac:dyDescent="0.15">
      <c r="A5" s="44"/>
      <c r="B5" s="37"/>
      <c r="C5" s="8"/>
      <c r="D5" s="8"/>
      <c r="E5" s="9"/>
      <c r="F5" s="27"/>
      <c r="G5" s="28"/>
      <c r="H5" s="28"/>
      <c r="I5" s="28"/>
      <c r="J5" s="28"/>
      <c r="K5" s="28"/>
      <c r="L5" s="28"/>
      <c r="M5" s="28"/>
      <c r="N5" s="28"/>
    </row>
    <row r="6" spans="1:15" ht="25.15" customHeight="1" x14ac:dyDescent="0.15">
      <c r="A6" s="29">
        <v>2</v>
      </c>
      <c r="B6" s="10" t="s">
        <v>12</v>
      </c>
      <c r="C6" s="8" t="s">
        <v>13</v>
      </c>
      <c r="D6" s="8"/>
      <c r="E6" s="9" t="s">
        <v>14</v>
      </c>
      <c r="F6" s="27" t="s">
        <v>176</v>
      </c>
      <c r="G6" s="28" t="s">
        <v>221</v>
      </c>
      <c r="H6" s="28" t="s">
        <v>225</v>
      </c>
      <c r="I6" s="28" t="s">
        <v>226</v>
      </c>
      <c r="J6" s="28"/>
      <c r="K6" s="28"/>
      <c r="L6" s="28" t="s">
        <v>247</v>
      </c>
      <c r="M6" s="28"/>
      <c r="N6" s="28" t="s">
        <v>325</v>
      </c>
      <c r="O6" s="4" t="s">
        <v>289</v>
      </c>
    </row>
    <row r="7" spans="1:15" ht="25.15" customHeight="1" x14ac:dyDescent="0.15">
      <c r="A7" s="44">
        <v>3</v>
      </c>
      <c r="B7" s="38" t="s">
        <v>15</v>
      </c>
      <c r="C7" s="8" t="s">
        <v>16</v>
      </c>
      <c r="D7" s="8"/>
      <c r="E7" s="9" t="s">
        <v>17</v>
      </c>
      <c r="F7" s="27" t="s">
        <v>177</v>
      </c>
      <c r="G7" s="28" t="s">
        <v>221</v>
      </c>
      <c r="H7" s="28" t="s">
        <v>225</v>
      </c>
      <c r="I7" s="28"/>
      <c r="J7" s="28"/>
      <c r="K7" s="28" t="s">
        <v>266</v>
      </c>
      <c r="L7" s="28" t="s">
        <v>281</v>
      </c>
      <c r="M7" s="28" t="s">
        <v>283</v>
      </c>
      <c r="N7" s="28" t="s">
        <v>272</v>
      </c>
      <c r="O7" s="4" t="s">
        <v>290</v>
      </c>
    </row>
    <row r="8" spans="1:15" ht="25.15" customHeight="1" x14ac:dyDescent="0.15">
      <c r="A8" s="44"/>
      <c r="B8" s="39"/>
      <c r="C8" s="8" t="s">
        <v>18</v>
      </c>
      <c r="D8" s="8"/>
      <c r="E8" s="9" t="s">
        <v>18</v>
      </c>
      <c r="F8" s="27" t="s">
        <v>178</v>
      </c>
      <c r="G8" s="28" t="s">
        <v>221</v>
      </c>
      <c r="H8" s="28" t="s">
        <v>227</v>
      </c>
      <c r="I8" s="28"/>
      <c r="J8" s="28"/>
      <c r="K8" s="28" t="s">
        <v>266</v>
      </c>
      <c r="L8" s="28" t="s">
        <v>248</v>
      </c>
      <c r="M8" s="28" t="s">
        <v>283</v>
      </c>
      <c r="N8" s="28" t="s">
        <v>272</v>
      </c>
      <c r="O8" s="4" t="s">
        <v>291</v>
      </c>
    </row>
    <row r="9" spans="1:15" ht="25.15" customHeight="1" x14ac:dyDescent="0.15">
      <c r="A9" s="44"/>
      <c r="B9" s="39"/>
      <c r="C9" s="8"/>
      <c r="D9" s="8"/>
      <c r="E9" s="9" t="s">
        <v>19</v>
      </c>
      <c r="F9" s="27"/>
      <c r="G9" s="28"/>
      <c r="H9" s="28"/>
      <c r="I9" s="28"/>
      <c r="J9" s="28"/>
      <c r="K9" s="28"/>
      <c r="L9" s="28"/>
      <c r="M9" s="28"/>
      <c r="N9" s="28"/>
    </row>
    <row r="10" spans="1:15" ht="25.15" customHeight="1" x14ac:dyDescent="0.15">
      <c r="A10" s="44"/>
      <c r="B10" s="40"/>
      <c r="C10" s="8"/>
      <c r="D10" s="8"/>
      <c r="E10" s="9" t="s">
        <v>20</v>
      </c>
      <c r="F10" s="27"/>
      <c r="G10" s="28"/>
      <c r="H10" s="28"/>
      <c r="I10" s="28"/>
      <c r="J10" s="28"/>
      <c r="K10" s="28"/>
      <c r="L10" s="28"/>
      <c r="M10" s="28"/>
      <c r="N10" s="28"/>
    </row>
    <row r="11" spans="1:15" ht="25.15" customHeight="1" x14ac:dyDescent="0.15">
      <c r="A11" s="44">
        <v>4</v>
      </c>
      <c r="B11" s="38" t="s">
        <v>241</v>
      </c>
      <c r="C11" s="11" t="s">
        <v>21</v>
      </c>
      <c r="D11" s="8"/>
      <c r="E11" s="10" t="s">
        <v>22</v>
      </c>
      <c r="F11" s="27"/>
      <c r="G11" s="28"/>
      <c r="H11" s="28"/>
      <c r="I11" s="28"/>
      <c r="J11" s="28"/>
      <c r="K11" s="28"/>
      <c r="L11" s="28" t="s">
        <v>247</v>
      </c>
      <c r="M11" s="28"/>
      <c r="N11" s="28"/>
    </row>
    <row r="12" spans="1:15" ht="25.15" customHeight="1" x14ac:dyDescent="0.15">
      <c r="A12" s="44"/>
      <c r="B12" s="40"/>
      <c r="C12" s="8"/>
      <c r="D12" s="8"/>
      <c r="E12" s="10"/>
      <c r="F12" s="27"/>
      <c r="G12" s="28"/>
      <c r="H12" s="28"/>
      <c r="I12" s="28"/>
      <c r="J12" s="28"/>
      <c r="K12" s="28"/>
      <c r="L12" s="28"/>
      <c r="M12" s="28"/>
      <c r="N12" s="28"/>
    </row>
    <row r="13" spans="1:15" ht="25.15" customHeight="1" x14ac:dyDescent="0.15">
      <c r="A13" s="44">
        <v>5</v>
      </c>
      <c r="B13" s="38" t="s">
        <v>23</v>
      </c>
      <c r="C13" s="8" t="s">
        <v>24</v>
      </c>
      <c r="D13" s="8" t="s">
        <v>25</v>
      </c>
      <c r="E13" s="12" t="s">
        <v>24</v>
      </c>
      <c r="F13" s="27" t="s">
        <v>179</v>
      </c>
      <c r="G13" s="28" t="s">
        <v>221</v>
      </c>
      <c r="H13" s="28" t="s">
        <v>222</v>
      </c>
      <c r="I13" s="28"/>
      <c r="J13" s="28"/>
      <c r="K13" s="28" t="s">
        <v>24</v>
      </c>
      <c r="L13" s="28" t="s">
        <v>249</v>
      </c>
      <c r="M13" s="28" t="s">
        <v>326</v>
      </c>
      <c r="N13" s="28" t="s">
        <v>325</v>
      </c>
      <c r="O13" s="4" t="s">
        <v>292</v>
      </c>
    </row>
    <row r="14" spans="1:15" ht="25.15" customHeight="1" x14ac:dyDescent="0.15">
      <c r="A14" s="44"/>
      <c r="B14" s="40"/>
      <c r="C14" s="8" t="s">
        <v>24</v>
      </c>
      <c r="D14" s="8" t="s">
        <v>25</v>
      </c>
      <c r="E14" s="12" t="s">
        <v>24</v>
      </c>
      <c r="F14" s="27" t="s">
        <v>179</v>
      </c>
      <c r="G14" s="28" t="s">
        <v>221</v>
      </c>
      <c r="H14" s="28" t="s">
        <v>222</v>
      </c>
      <c r="I14" s="28"/>
      <c r="J14" s="28"/>
      <c r="K14" s="28" t="s">
        <v>24</v>
      </c>
      <c r="L14" s="28" t="s">
        <v>249</v>
      </c>
      <c r="M14" s="28" t="s">
        <v>327</v>
      </c>
      <c r="N14" s="28" t="s">
        <v>325</v>
      </c>
      <c r="O14" s="4" t="s">
        <v>292</v>
      </c>
    </row>
    <row r="15" spans="1:15" ht="25.15" customHeight="1" x14ac:dyDescent="0.15">
      <c r="A15" s="44">
        <v>6</v>
      </c>
      <c r="B15" s="35" t="s">
        <v>26</v>
      </c>
      <c r="C15" s="8" t="s">
        <v>27</v>
      </c>
      <c r="D15" s="8" t="s">
        <v>28</v>
      </c>
      <c r="E15" s="9" t="s">
        <v>27</v>
      </c>
      <c r="F15" s="27" t="s">
        <v>180</v>
      </c>
      <c r="G15" s="28" t="s">
        <v>221</v>
      </c>
      <c r="H15" s="28" t="s">
        <v>222</v>
      </c>
      <c r="I15" s="28"/>
      <c r="J15" s="28"/>
      <c r="K15" s="28" t="s">
        <v>27</v>
      </c>
      <c r="L15" s="28" t="s">
        <v>172</v>
      </c>
      <c r="M15" s="28" t="s">
        <v>328</v>
      </c>
      <c r="N15" s="34" t="s">
        <v>324</v>
      </c>
      <c r="O15" s="4" t="s">
        <v>293</v>
      </c>
    </row>
    <row r="16" spans="1:15" ht="25.15" customHeight="1" x14ac:dyDescent="0.15">
      <c r="A16" s="44"/>
      <c r="B16" s="36"/>
      <c r="C16" s="8" t="s">
        <v>27</v>
      </c>
      <c r="D16" s="8" t="s">
        <v>28</v>
      </c>
      <c r="E16" s="9" t="s">
        <v>27</v>
      </c>
      <c r="F16" s="27" t="s">
        <v>180</v>
      </c>
      <c r="G16" s="28" t="s">
        <v>221</v>
      </c>
      <c r="H16" s="28" t="s">
        <v>222</v>
      </c>
      <c r="I16" s="28"/>
      <c r="J16" s="28"/>
      <c r="K16" s="28" t="s">
        <v>27</v>
      </c>
      <c r="L16" s="28" t="s">
        <v>172</v>
      </c>
      <c r="M16" s="28" t="s">
        <v>329</v>
      </c>
      <c r="N16" s="34" t="s">
        <v>324</v>
      </c>
      <c r="O16" s="4" t="s">
        <v>293</v>
      </c>
    </row>
    <row r="17" spans="1:15" ht="25.15" customHeight="1" x14ac:dyDescent="0.15">
      <c r="A17" s="44"/>
      <c r="B17" s="36"/>
      <c r="C17" s="8" t="s">
        <v>29</v>
      </c>
      <c r="D17" s="8" t="s">
        <v>29</v>
      </c>
      <c r="E17" s="9" t="s">
        <v>29</v>
      </c>
      <c r="F17" s="27" t="s">
        <v>181</v>
      </c>
      <c r="G17" s="28" t="s">
        <v>221</v>
      </c>
      <c r="H17" s="28" t="s">
        <v>222</v>
      </c>
      <c r="I17" s="28"/>
      <c r="J17" s="28"/>
      <c r="K17" s="28" t="s">
        <v>29</v>
      </c>
      <c r="L17" s="28" t="s">
        <v>172</v>
      </c>
      <c r="M17" s="28" t="s">
        <v>330</v>
      </c>
      <c r="N17" s="34" t="s">
        <v>324</v>
      </c>
      <c r="O17" s="4" t="s">
        <v>294</v>
      </c>
    </row>
    <row r="18" spans="1:15" ht="25.15" customHeight="1" x14ac:dyDescent="0.15">
      <c r="A18" s="44"/>
      <c r="B18" s="36"/>
      <c r="C18" s="8" t="s">
        <v>29</v>
      </c>
      <c r="D18" s="8" t="s">
        <v>29</v>
      </c>
      <c r="E18" s="9" t="s">
        <v>29</v>
      </c>
      <c r="F18" s="27" t="s">
        <v>181</v>
      </c>
      <c r="G18" s="28" t="s">
        <v>221</v>
      </c>
      <c r="H18" s="28" t="s">
        <v>222</v>
      </c>
      <c r="I18" s="28"/>
      <c r="J18" s="28"/>
      <c r="K18" s="28" t="s">
        <v>29</v>
      </c>
      <c r="L18" s="28" t="s">
        <v>172</v>
      </c>
      <c r="M18" s="28" t="s">
        <v>331</v>
      </c>
      <c r="N18" s="34" t="s">
        <v>324</v>
      </c>
      <c r="O18" s="4" t="s">
        <v>294</v>
      </c>
    </row>
    <row r="19" spans="1:15" ht="25.15" customHeight="1" x14ac:dyDescent="0.15">
      <c r="A19" s="44"/>
      <c r="B19" s="36"/>
      <c r="C19" s="8" t="s">
        <v>29</v>
      </c>
      <c r="D19" s="8" t="s">
        <v>29</v>
      </c>
      <c r="E19" s="9" t="s">
        <v>29</v>
      </c>
      <c r="F19" s="27" t="s">
        <v>181</v>
      </c>
      <c r="G19" s="28" t="s">
        <v>221</v>
      </c>
      <c r="H19" s="28" t="s">
        <v>222</v>
      </c>
      <c r="I19" s="28"/>
      <c r="J19" s="28"/>
      <c r="K19" s="28" t="s">
        <v>29</v>
      </c>
      <c r="L19" s="28" t="s">
        <v>172</v>
      </c>
      <c r="M19" s="28" t="s">
        <v>332</v>
      </c>
      <c r="N19" s="34" t="s">
        <v>324</v>
      </c>
      <c r="O19" s="4" t="s">
        <v>294</v>
      </c>
    </row>
    <row r="20" spans="1:15" ht="25.15" customHeight="1" x14ac:dyDescent="0.15">
      <c r="A20" s="44"/>
      <c r="B20" s="36"/>
      <c r="C20" s="8" t="s">
        <v>29</v>
      </c>
      <c r="D20" s="8" t="s">
        <v>29</v>
      </c>
      <c r="E20" s="9" t="s">
        <v>29</v>
      </c>
      <c r="F20" s="27" t="s">
        <v>181</v>
      </c>
      <c r="G20" s="28" t="s">
        <v>221</v>
      </c>
      <c r="H20" s="28" t="s">
        <v>222</v>
      </c>
      <c r="I20" s="28"/>
      <c r="J20" s="28"/>
      <c r="K20" s="28" t="s">
        <v>29</v>
      </c>
      <c r="L20" s="28" t="s">
        <v>172</v>
      </c>
      <c r="M20" s="28" t="s">
        <v>333</v>
      </c>
      <c r="N20" s="34" t="s">
        <v>324</v>
      </c>
      <c r="O20" s="4" t="s">
        <v>294</v>
      </c>
    </row>
    <row r="21" spans="1:15" ht="25.15" customHeight="1" x14ac:dyDescent="0.15">
      <c r="A21" s="44"/>
      <c r="B21" s="36"/>
      <c r="C21" s="8" t="s">
        <v>29</v>
      </c>
      <c r="D21" s="8" t="s">
        <v>29</v>
      </c>
      <c r="E21" s="9" t="s">
        <v>29</v>
      </c>
      <c r="F21" s="27" t="s">
        <v>181</v>
      </c>
      <c r="G21" s="28" t="s">
        <v>221</v>
      </c>
      <c r="H21" s="28" t="s">
        <v>222</v>
      </c>
      <c r="I21" s="28"/>
      <c r="J21" s="28"/>
      <c r="K21" s="28" t="s">
        <v>29</v>
      </c>
      <c r="L21" s="28" t="s">
        <v>172</v>
      </c>
      <c r="M21" s="28" t="s">
        <v>334</v>
      </c>
      <c r="N21" s="34" t="s">
        <v>324</v>
      </c>
      <c r="O21" s="4" t="s">
        <v>294</v>
      </c>
    </row>
    <row r="22" spans="1:15" ht="25.15" customHeight="1" x14ac:dyDescent="0.15">
      <c r="A22" s="44"/>
      <c r="B22" s="36"/>
      <c r="C22" s="8" t="s">
        <v>29</v>
      </c>
      <c r="D22" s="8" t="s">
        <v>29</v>
      </c>
      <c r="E22" s="9" t="s">
        <v>29</v>
      </c>
      <c r="F22" s="27" t="s">
        <v>181</v>
      </c>
      <c r="G22" s="28" t="s">
        <v>221</v>
      </c>
      <c r="H22" s="28" t="s">
        <v>222</v>
      </c>
      <c r="I22" s="28"/>
      <c r="J22" s="28"/>
      <c r="K22" s="28" t="s">
        <v>29</v>
      </c>
      <c r="L22" s="28" t="s">
        <v>172</v>
      </c>
      <c r="M22" s="28" t="s">
        <v>335</v>
      </c>
      <c r="N22" s="34" t="s">
        <v>324</v>
      </c>
      <c r="O22" s="4" t="s">
        <v>294</v>
      </c>
    </row>
    <row r="23" spans="1:15" ht="25.15" customHeight="1" x14ac:dyDescent="0.15">
      <c r="A23" s="44"/>
      <c r="B23" s="36"/>
      <c r="C23" s="8" t="s">
        <v>29</v>
      </c>
      <c r="D23" s="8" t="s">
        <v>29</v>
      </c>
      <c r="E23" s="9" t="s">
        <v>29</v>
      </c>
      <c r="F23" s="27" t="s">
        <v>181</v>
      </c>
      <c r="G23" s="28" t="s">
        <v>221</v>
      </c>
      <c r="H23" s="28" t="s">
        <v>222</v>
      </c>
      <c r="I23" s="28"/>
      <c r="J23" s="28"/>
      <c r="K23" s="28" t="s">
        <v>29</v>
      </c>
      <c r="L23" s="28" t="s">
        <v>172</v>
      </c>
      <c r="M23" s="28" t="s">
        <v>336</v>
      </c>
      <c r="N23" s="34" t="s">
        <v>324</v>
      </c>
      <c r="O23" s="4" t="s">
        <v>294</v>
      </c>
    </row>
    <row r="24" spans="1:15" ht="25.15" customHeight="1" x14ac:dyDescent="0.15">
      <c r="A24" s="44"/>
      <c r="B24" s="36"/>
      <c r="C24" s="8" t="s">
        <v>30</v>
      </c>
      <c r="D24" s="8"/>
      <c r="E24" s="9" t="s">
        <v>31</v>
      </c>
      <c r="F24" s="27" t="s">
        <v>182</v>
      </c>
      <c r="G24" s="28" t="s">
        <v>228</v>
      </c>
      <c r="H24" s="28" t="s">
        <v>224</v>
      </c>
      <c r="I24" s="28"/>
      <c r="J24" s="28"/>
      <c r="K24" s="28" t="s">
        <v>30</v>
      </c>
      <c r="L24" s="28" t="s">
        <v>247</v>
      </c>
      <c r="M24" s="28"/>
      <c r="N24" s="28" t="s">
        <v>325</v>
      </c>
      <c r="O24" s="4" t="s">
        <v>295</v>
      </c>
    </row>
    <row r="25" spans="1:15" ht="25.15" customHeight="1" x14ac:dyDescent="0.15">
      <c r="A25" s="44"/>
      <c r="B25" s="36"/>
      <c r="C25" s="8" t="s">
        <v>32</v>
      </c>
      <c r="D25" s="8"/>
      <c r="E25" s="9" t="s">
        <v>33</v>
      </c>
      <c r="F25" s="27" t="s">
        <v>183</v>
      </c>
      <c r="G25" s="28" t="s">
        <v>228</v>
      </c>
      <c r="H25" s="28" t="s">
        <v>229</v>
      </c>
      <c r="I25" s="28"/>
      <c r="J25" s="28"/>
      <c r="K25" s="28" t="s">
        <v>267</v>
      </c>
      <c r="L25" s="28" t="s">
        <v>247</v>
      </c>
      <c r="M25" s="28" t="s">
        <v>273</v>
      </c>
      <c r="N25" s="34" t="s">
        <v>324</v>
      </c>
      <c r="O25" s="4" t="s">
        <v>296</v>
      </c>
    </row>
    <row r="26" spans="1:15" ht="25.15" customHeight="1" x14ac:dyDescent="0.15">
      <c r="A26" s="44"/>
      <c r="B26" s="37"/>
      <c r="C26" s="8" t="s">
        <v>34</v>
      </c>
      <c r="D26" s="8"/>
      <c r="E26" s="10"/>
      <c r="F26" s="27" t="s">
        <v>184</v>
      </c>
      <c r="G26" s="28" t="s">
        <v>228</v>
      </c>
      <c r="H26" s="28" t="s">
        <v>230</v>
      </c>
      <c r="I26" s="28"/>
      <c r="J26" s="28"/>
      <c r="K26" s="28" t="s">
        <v>34</v>
      </c>
      <c r="L26" s="28" t="s">
        <v>250</v>
      </c>
      <c r="M26" s="28" t="s">
        <v>274</v>
      </c>
      <c r="N26" s="34" t="s">
        <v>324</v>
      </c>
      <c r="O26" s="4" t="s">
        <v>297</v>
      </c>
    </row>
    <row r="27" spans="1:15" ht="25.15" customHeight="1" x14ac:dyDescent="0.15">
      <c r="A27" s="44">
        <v>7</v>
      </c>
      <c r="B27" s="38" t="s">
        <v>35</v>
      </c>
      <c r="C27" s="8" t="s">
        <v>36</v>
      </c>
      <c r="D27" s="8" t="s">
        <v>37</v>
      </c>
      <c r="E27" s="9" t="s">
        <v>38</v>
      </c>
      <c r="F27" s="27" t="s">
        <v>185</v>
      </c>
      <c r="G27" s="28" t="s">
        <v>221</v>
      </c>
      <c r="H27" s="28" t="s">
        <v>222</v>
      </c>
      <c r="I27" s="28"/>
      <c r="J27" s="28"/>
      <c r="K27" s="28" t="s">
        <v>36</v>
      </c>
      <c r="L27" s="28" t="s">
        <v>251</v>
      </c>
      <c r="M27" s="28" t="s">
        <v>282</v>
      </c>
      <c r="N27" s="28" t="s">
        <v>325</v>
      </c>
      <c r="O27" s="4" t="s">
        <v>298</v>
      </c>
    </row>
    <row r="28" spans="1:15" ht="25.15" customHeight="1" x14ac:dyDescent="0.15">
      <c r="A28" s="44"/>
      <c r="B28" s="39"/>
      <c r="C28" s="8" t="s">
        <v>39</v>
      </c>
      <c r="D28" s="8"/>
      <c r="E28" s="9" t="s">
        <v>40</v>
      </c>
      <c r="F28" s="27" t="s">
        <v>186</v>
      </c>
      <c r="G28" s="28" t="s">
        <v>228</v>
      </c>
      <c r="H28" s="28" t="s">
        <v>229</v>
      </c>
      <c r="I28" s="28"/>
      <c r="J28" s="28"/>
      <c r="K28" s="28" t="s">
        <v>268</v>
      </c>
      <c r="L28" s="28" t="s">
        <v>252</v>
      </c>
      <c r="M28" s="28" t="s">
        <v>275</v>
      </c>
      <c r="N28" s="28" t="s">
        <v>325</v>
      </c>
      <c r="O28" s="4" t="s">
        <v>299</v>
      </c>
    </row>
    <row r="29" spans="1:15" ht="25.15" customHeight="1" x14ac:dyDescent="0.15">
      <c r="A29" s="44"/>
      <c r="B29" s="39"/>
      <c r="C29" s="8" t="s">
        <v>41</v>
      </c>
      <c r="D29" s="8"/>
      <c r="E29" s="9" t="s">
        <v>42</v>
      </c>
      <c r="F29" s="27" t="s">
        <v>187</v>
      </c>
      <c r="G29" s="28" t="s">
        <v>221</v>
      </c>
      <c r="H29" s="28" t="s">
        <v>224</v>
      </c>
      <c r="I29" s="28"/>
      <c r="J29" s="28"/>
      <c r="K29" s="28" t="s">
        <v>40</v>
      </c>
      <c r="L29" s="28" t="s">
        <v>252</v>
      </c>
      <c r="M29" s="28" t="s">
        <v>275</v>
      </c>
      <c r="N29" s="28" t="s">
        <v>325</v>
      </c>
      <c r="O29" s="4" t="s">
        <v>300</v>
      </c>
    </row>
    <row r="30" spans="1:15" ht="25.15" customHeight="1" x14ac:dyDescent="0.15">
      <c r="A30" s="44"/>
      <c r="B30" s="39"/>
      <c r="C30" s="11" t="s">
        <v>43</v>
      </c>
      <c r="D30" s="8"/>
      <c r="E30" s="9" t="s">
        <v>44</v>
      </c>
      <c r="F30" s="27" t="s">
        <v>263</v>
      </c>
      <c r="G30" s="28"/>
      <c r="H30" s="28"/>
      <c r="I30" s="28"/>
      <c r="J30" s="28"/>
      <c r="K30" s="28"/>
      <c r="L30" s="28" t="s">
        <v>247</v>
      </c>
      <c r="M30" s="28"/>
      <c r="N30" s="28"/>
    </row>
    <row r="31" spans="1:15" ht="25.15" customHeight="1" x14ac:dyDescent="0.15">
      <c r="A31" s="44"/>
      <c r="B31" s="40"/>
      <c r="C31" s="8"/>
      <c r="D31" s="8"/>
      <c r="E31" s="9" t="s">
        <v>45</v>
      </c>
      <c r="F31" s="27"/>
      <c r="G31" s="28"/>
      <c r="H31" s="28"/>
      <c r="I31" s="28"/>
      <c r="J31" s="28"/>
      <c r="K31" s="28"/>
      <c r="L31" s="28"/>
      <c r="M31" s="28"/>
      <c r="N31" s="28"/>
    </row>
    <row r="32" spans="1:15" ht="25.15" customHeight="1" x14ac:dyDescent="0.15">
      <c r="A32" s="44">
        <v>8</v>
      </c>
      <c r="B32" s="38" t="s">
        <v>46</v>
      </c>
      <c r="C32" s="8" t="s">
        <v>47</v>
      </c>
      <c r="D32" s="8" t="s">
        <v>48</v>
      </c>
      <c r="E32" s="9" t="s">
        <v>49</v>
      </c>
      <c r="F32" s="27" t="s">
        <v>188</v>
      </c>
      <c r="G32" s="28" t="s">
        <v>221</v>
      </c>
      <c r="H32" s="28" t="s">
        <v>231</v>
      </c>
      <c r="I32" s="28" t="s">
        <v>226</v>
      </c>
      <c r="J32" s="28" t="s">
        <v>232</v>
      </c>
      <c r="K32" s="28" t="s">
        <v>47</v>
      </c>
      <c r="L32" s="28" t="s">
        <v>253</v>
      </c>
      <c r="M32" s="28" t="s">
        <v>338</v>
      </c>
      <c r="N32" s="28" t="s">
        <v>325</v>
      </c>
      <c r="O32" s="4" t="s">
        <v>301</v>
      </c>
    </row>
    <row r="33" spans="1:15" ht="25.15" customHeight="1" x14ac:dyDescent="0.15">
      <c r="A33" s="44"/>
      <c r="B33" s="39"/>
      <c r="C33" s="8" t="s">
        <v>47</v>
      </c>
      <c r="D33" s="8" t="s">
        <v>48</v>
      </c>
      <c r="E33" s="9" t="s">
        <v>49</v>
      </c>
      <c r="F33" s="27" t="s">
        <v>188</v>
      </c>
      <c r="G33" s="28" t="s">
        <v>221</v>
      </c>
      <c r="H33" s="28" t="s">
        <v>231</v>
      </c>
      <c r="I33" s="28" t="s">
        <v>226</v>
      </c>
      <c r="J33" s="28" t="s">
        <v>232</v>
      </c>
      <c r="K33" s="28" t="s">
        <v>47</v>
      </c>
      <c r="L33" s="28" t="s">
        <v>253</v>
      </c>
      <c r="M33" s="28" t="s">
        <v>337</v>
      </c>
      <c r="N33" s="28" t="s">
        <v>325</v>
      </c>
      <c r="O33" s="4" t="s">
        <v>301</v>
      </c>
    </row>
    <row r="34" spans="1:15" ht="25.15" customHeight="1" x14ac:dyDescent="0.15">
      <c r="A34" s="44"/>
      <c r="B34" s="40"/>
      <c r="C34" s="8"/>
      <c r="D34" s="8"/>
      <c r="E34" s="9" t="s">
        <v>50</v>
      </c>
      <c r="F34" s="27"/>
      <c r="G34" s="28"/>
      <c r="H34" s="28"/>
      <c r="I34" s="28"/>
      <c r="J34" s="28"/>
      <c r="K34" s="28"/>
      <c r="L34" s="28"/>
      <c r="M34" s="28"/>
      <c r="N34" s="28"/>
    </row>
    <row r="35" spans="1:15" ht="25.15" customHeight="1" x14ac:dyDescent="0.15">
      <c r="A35" s="44">
        <v>9</v>
      </c>
      <c r="B35" s="38" t="s">
        <v>51</v>
      </c>
      <c r="C35" s="8" t="s">
        <v>52</v>
      </c>
      <c r="D35" s="8" t="s">
        <v>53</v>
      </c>
      <c r="E35" s="9" t="s">
        <v>52</v>
      </c>
      <c r="F35" s="27" t="s">
        <v>189</v>
      </c>
      <c r="G35" s="28" t="s">
        <v>221</v>
      </c>
      <c r="H35" s="28" t="s">
        <v>231</v>
      </c>
      <c r="I35" s="28" t="s">
        <v>226</v>
      </c>
      <c r="J35" s="28" t="s">
        <v>233</v>
      </c>
      <c r="K35" s="28" t="s">
        <v>52</v>
      </c>
      <c r="L35" s="28" t="s">
        <v>52</v>
      </c>
      <c r="M35" s="28" t="s">
        <v>52</v>
      </c>
      <c r="N35" s="28" t="s">
        <v>325</v>
      </c>
      <c r="O35" s="4" t="s">
        <v>302</v>
      </c>
    </row>
    <row r="36" spans="1:15" ht="25.15" customHeight="1" x14ac:dyDescent="0.15">
      <c r="A36" s="44"/>
      <c r="B36" s="39"/>
      <c r="C36" s="8" t="s">
        <v>54</v>
      </c>
      <c r="D36" s="8"/>
      <c r="E36" s="9" t="s">
        <v>55</v>
      </c>
      <c r="F36" s="27" t="s">
        <v>190</v>
      </c>
      <c r="G36" s="28" t="s">
        <v>221</v>
      </c>
      <c r="H36" s="28" t="s">
        <v>222</v>
      </c>
      <c r="I36" s="28"/>
      <c r="J36" s="28"/>
      <c r="K36" s="28"/>
      <c r="L36" s="28" t="s">
        <v>254</v>
      </c>
      <c r="M36" s="28"/>
      <c r="N36" s="28" t="s">
        <v>325</v>
      </c>
      <c r="O36" s="4" t="s">
        <v>303</v>
      </c>
    </row>
    <row r="37" spans="1:15" ht="25.15" customHeight="1" x14ac:dyDescent="0.15">
      <c r="A37" s="44"/>
      <c r="B37" s="40"/>
      <c r="C37" s="13"/>
      <c r="D37" s="8"/>
      <c r="E37" s="9" t="s">
        <v>56</v>
      </c>
      <c r="F37" s="27"/>
      <c r="G37" s="28"/>
      <c r="H37" s="28"/>
      <c r="I37" s="28"/>
      <c r="J37" s="28"/>
      <c r="K37" s="28"/>
      <c r="L37" s="28"/>
      <c r="M37" s="28"/>
      <c r="N37" s="28"/>
    </row>
    <row r="38" spans="1:15" ht="25.15" customHeight="1" x14ac:dyDescent="0.15">
      <c r="A38" s="44">
        <v>10</v>
      </c>
      <c r="B38" s="38" t="s">
        <v>57</v>
      </c>
      <c r="C38" s="8" t="s">
        <v>58</v>
      </c>
      <c r="D38" s="8" t="s">
        <v>59</v>
      </c>
      <c r="E38" s="9" t="s">
        <v>59</v>
      </c>
      <c r="F38" s="27" t="s">
        <v>191</v>
      </c>
      <c r="G38" s="28" t="s">
        <v>221</v>
      </c>
      <c r="H38" s="28" t="s">
        <v>225</v>
      </c>
      <c r="I38" s="28"/>
      <c r="J38" s="28" t="s">
        <v>234</v>
      </c>
      <c r="K38" s="28" t="s">
        <v>58</v>
      </c>
      <c r="L38" s="28" t="s">
        <v>247</v>
      </c>
      <c r="M38" s="28"/>
      <c r="N38" s="28" t="s">
        <v>325</v>
      </c>
      <c r="O38" s="4" t="s">
        <v>304</v>
      </c>
    </row>
    <row r="39" spans="1:15" ht="25.15" customHeight="1" x14ac:dyDescent="0.15">
      <c r="A39" s="44"/>
      <c r="B39" s="39"/>
      <c r="C39" s="11" t="s">
        <v>60</v>
      </c>
      <c r="D39" s="8"/>
      <c r="E39" s="9" t="s">
        <v>61</v>
      </c>
      <c r="F39" s="27"/>
      <c r="G39" s="28"/>
      <c r="H39" s="28"/>
      <c r="I39" s="28"/>
      <c r="J39" s="28"/>
      <c r="K39" s="28"/>
      <c r="L39" s="28" t="s">
        <v>247</v>
      </c>
      <c r="M39" s="28"/>
      <c r="N39" s="28"/>
    </row>
    <row r="40" spans="1:15" ht="25.15" customHeight="1" x14ac:dyDescent="0.15">
      <c r="A40" s="44"/>
      <c r="B40" s="40"/>
      <c r="C40" s="8"/>
      <c r="D40" s="8"/>
      <c r="E40" s="9"/>
      <c r="F40" s="27"/>
      <c r="G40" s="28"/>
      <c r="H40" s="28"/>
      <c r="I40" s="28"/>
      <c r="J40" s="28"/>
      <c r="K40" s="28"/>
      <c r="L40" s="28"/>
      <c r="M40" s="28"/>
      <c r="N40" s="28"/>
    </row>
    <row r="41" spans="1:15" ht="25.15" customHeight="1" x14ac:dyDescent="0.15">
      <c r="A41" s="44">
        <v>11</v>
      </c>
      <c r="B41" s="35" t="s">
        <v>62</v>
      </c>
      <c r="C41" s="8" t="s">
        <v>63</v>
      </c>
      <c r="D41" s="8" t="s">
        <v>64</v>
      </c>
      <c r="E41" s="9" t="s">
        <v>63</v>
      </c>
      <c r="F41" s="27" t="s">
        <v>192</v>
      </c>
      <c r="G41" s="28" t="s">
        <v>221</v>
      </c>
      <c r="H41" s="28" t="s">
        <v>225</v>
      </c>
      <c r="I41" s="28" t="s">
        <v>226</v>
      </c>
      <c r="J41" s="28"/>
      <c r="K41" s="28"/>
      <c r="L41" s="28" t="s">
        <v>63</v>
      </c>
      <c r="M41" s="28" t="s">
        <v>276</v>
      </c>
      <c r="N41" s="28" t="s">
        <v>276</v>
      </c>
      <c r="O41" s="4" t="s">
        <v>305</v>
      </c>
    </row>
    <row r="42" spans="1:15" ht="25.15" customHeight="1" x14ac:dyDescent="0.15">
      <c r="A42" s="44"/>
      <c r="B42" s="36"/>
      <c r="C42" s="8" t="s">
        <v>65</v>
      </c>
      <c r="D42" s="8" t="s">
        <v>66</v>
      </c>
      <c r="E42" s="9" t="s">
        <v>67</v>
      </c>
      <c r="F42" s="27" t="s">
        <v>193</v>
      </c>
      <c r="G42" s="28" t="s">
        <v>221</v>
      </c>
      <c r="H42" s="28" t="s">
        <v>231</v>
      </c>
      <c r="I42" s="28" t="s">
        <v>226</v>
      </c>
      <c r="J42" s="28" t="s">
        <v>235</v>
      </c>
      <c r="K42" s="28"/>
      <c r="L42" s="28" t="s">
        <v>63</v>
      </c>
      <c r="M42" s="28" t="s">
        <v>276</v>
      </c>
      <c r="N42" s="28" t="s">
        <v>276</v>
      </c>
      <c r="O42" s="4" t="s">
        <v>306</v>
      </c>
    </row>
    <row r="43" spans="1:15" ht="25.15" customHeight="1" x14ac:dyDescent="0.15">
      <c r="A43" s="44"/>
      <c r="B43" s="36"/>
      <c r="C43" s="8"/>
      <c r="D43" s="19" t="s">
        <v>68</v>
      </c>
      <c r="E43" s="20" t="s">
        <v>69</v>
      </c>
      <c r="F43" s="30"/>
      <c r="G43" s="31"/>
      <c r="H43" s="31" t="s">
        <v>225</v>
      </c>
      <c r="I43" s="31" t="s">
        <v>226</v>
      </c>
      <c r="J43" s="28"/>
      <c r="K43" s="28"/>
      <c r="L43" s="28"/>
      <c r="M43" s="28"/>
      <c r="N43" s="28"/>
    </row>
    <row r="44" spans="1:15" ht="25.15" customHeight="1" x14ac:dyDescent="0.15">
      <c r="A44" s="44"/>
      <c r="B44" s="36"/>
      <c r="C44" s="8"/>
      <c r="D44" s="8"/>
      <c r="E44" s="9" t="s">
        <v>70</v>
      </c>
      <c r="F44" s="27"/>
      <c r="G44" s="28"/>
      <c r="H44" s="28"/>
      <c r="I44" s="28"/>
      <c r="J44" s="28"/>
      <c r="K44" s="28"/>
      <c r="L44" s="28"/>
      <c r="M44" s="28"/>
      <c r="N44" s="28"/>
    </row>
    <row r="45" spans="1:15" ht="25.15" customHeight="1" x14ac:dyDescent="0.15">
      <c r="A45" s="44"/>
      <c r="B45" s="36"/>
      <c r="C45" s="8"/>
      <c r="D45" s="8"/>
      <c r="E45" s="9" t="s">
        <v>71</v>
      </c>
      <c r="F45" s="27"/>
      <c r="G45" s="28"/>
      <c r="H45" s="28"/>
      <c r="I45" s="28"/>
      <c r="J45" s="28"/>
      <c r="K45" s="28"/>
      <c r="L45" s="28"/>
      <c r="M45" s="28"/>
      <c r="N45" s="28"/>
    </row>
    <row r="46" spans="1:15" ht="25.15" customHeight="1" x14ac:dyDescent="0.15">
      <c r="A46" s="44"/>
      <c r="B46" s="37"/>
      <c r="C46" s="8"/>
      <c r="D46" s="8"/>
      <c r="E46" s="9" t="s">
        <v>72</v>
      </c>
      <c r="F46" s="27"/>
      <c r="G46" s="28"/>
      <c r="H46" s="28"/>
      <c r="I46" s="28"/>
      <c r="J46" s="28"/>
      <c r="K46" s="28"/>
      <c r="L46" s="28"/>
      <c r="M46" s="28"/>
      <c r="N46" s="28"/>
    </row>
    <row r="47" spans="1:15" ht="25.15" customHeight="1" x14ac:dyDescent="0.15">
      <c r="A47" s="44">
        <v>12</v>
      </c>
      <c r="B47" s="38" t="s">
        <v>73</v>
      </c>
      <c r="C47" s="11" t="s">
        <v>74</v>
      </c>
      <c r="D47" s="8" t="s">
        <v>75</v>
      </c>
      <c r="E47" s="9" t="s">
        <v>76</v>
      </c>
      <c r="F47" s="27" t="s">
        <v>194</v>
      </c>
      <c r="G47" s="28"/>
      <c r="H47" s="28"/>
      <c r="I47" s="28"/>
      <c r="J47" s="28"/>
      <c r="K47" s="28"/>
      <c r="L47" s="28" t="s">
        <v>255</v>
      </c>
      <c r="M47" s="28" t="s">
        <v>276</v>
      </c>
      <c r="N47" s="28" t="s">
        <v>276</v>
      </c>
    </row>
    <row r="48" spans="1:15" ht="25.15" customHeight="1" x14ac:dyDescent="0.15">
      <c r="A48" s="44"/>
      <c r="B48" s="40"/>
      <c r="C48" s="8"/>
      <c r="D48" s="8"/>
      <c r="E48" s="9" t="s">
        <v>77</v>
      </c>
      <c r="F48" s="27"/>
      <c r="G48" s="28"/>
      <c r="H48" s="28"/>
      <c r="I48" s="28"/>
      <c r="J48" s="28"/>
      <c r="K48" s="28"/>
      <c r="L48" s="28"/>
      <c r="M48" s="28"/>
      <c r="N48" s="28"/>
    </row>
    <row r="49" spans="1:15" ht="25.15" customHeight="1" x14ac:dyDescent="0.15">
      <c r="A49" s="44">
        <v>13</v>
      </c>
      <c r="B49" s="38" t="s">
        <v>78</v>
      </c>
      <c r="C49" s="8" t="s">
        <v>79</v>
      </c>
      <c r="D49" s="8"/>
      <c r="E49" s="9" t="s">
        <v>80</v>
      </c>
      <c r="F49" s="27" t="s">
        <v>195</v>
      </c>
      <c r="G49" s="28" t="s">
        <v>221</v>
      </c>
      <c r="H49" s="28" t="s">
        <v>225</v>
      </c>
      <c r="I49" s="28"/>
      <c r="J49" s="28" t="s">
        <v>234</v>
      </c>
      <c r="K49" s="28" t="s">
        <v>79</v>
      </c>
      <c r="L49" s="28" t="s">
        <v>256</v>
      </c>
      <c r="M49" s="28" t="s">
        <v>277</v>
      </c>
      <c r="N49" s="28" t="s">
        <v>83</v>
      </c>
      <c r="O49" s="4" t="s">
        <v>307</v>
      </c>
    </row>
    <row r="50" spans="1:15" ht="25.15" customHeight="1" x14ac:dyDescent="0.15">
      <c r="A50" s="44"/>
      <c r="B50" s="40"/>
      <c r="C50" s="8" t="s">
        <v>81</v>
      </c>
      <c r="D50" s="8"/>
      <c r="E50" s="9" t="s">
        <v>81</v>
      </c>
      <c r="F50" s="27" t="s">
        <v>196</v>
      </c>
      <c r="G50" s="28" t="s">
        <v>221</v>
      </c>
      <c r="H50" s="28" t="s">
        <v>222</v>
      </c>
      <c r="I50" s="28"/>
      <c r="J50" s="28"/>
      <c r="K50" s="28" t="s">
        <v>269</v>
      </c>
      <c r="L50" s="28" t="s">
        <v>81</v>
      </c>
      <c r="M50" s="28" t="s">
        <v>269</v>
      </c>
      <c r="N50" s="28" t="s">
        <v>83</v>
      </c>
      <c r="O50" s="4" t="s">
        <v>308</v>
      </c>
    </row>
    <row r="51" spans="1:15" ht="25.15" customHeight="1" x14ac:dyDescent="0.15">
      <c r="A51" s="44">
        <v>14</v>
      </c>
      <c r="B51" s="38" t="s">
        <v>82</v>
      </c>
      <c r="C51" s="14" t="s">
        <v>83</v>
      </c>
      <c r="D51" s="14"/>
      <c r="E51" s="9" t="s">
        <v>84</v>
      </c>
      <c r="F51" s="27" t="s">
        <v>197</v>
      </c>
      <c r="G51" s="28" t="s">
        <v>221</v>
      </c>
      <c r="H51" s="28" t="s">
        <v>227</v>
      </c>
      <c r="I51" s="28"/>
      <c r="J51" s="28"/>
      <c r="K51" s="28" t="s">
        <v>83</v>
      </c>
      <c r="L51" s="28" t="s">
        <v>257</v>
      </c>
      <c r="M51" s="28" t="s">
        <v>349</v>
      </c>
      <c r="N51" s="28" t="s">
        <v>83</v>
      </c>
      <c r="O51" s="4" t="s">
        <v>309</v>
      </c>
    </row>
    <row r="52" spans="1:15" ht="25.15" customHeight="1" x14ac:dyDescent="0.15">
      <c r="A52" s="44"/>
      <c r="B52" s="39"/>
      <c r="C52" s="14" t="s">
        <v>83</v>
      </c>
      <c r="D52" s="14"/>
      <c r="E52" s="9" t="s">
        <v>84</v>
      </c>
      <c r="F52" s="27" t="s">
        <v>197</v>
      </c>
      <c r="G52" s="28" t="s">
        <v>221</v>
      </c>
      <c r="H52" s="28" t="s">
        <v>227</v>
      </c>
      <c r="I52" s="28"/>
      <c r="J52" s="28"/>
      <c r="K52" s="28" t="s">
        <v>83</v>
      </c>
      <c r="L52" s="28" t="s">
        <v>257</v>
      </c>
      <c r="M52" s="28" t="s">
        <v>350</v>
      </c>
      <c r="N52" s="28" t="s">
        <v>83</v>
      </c>
      <c r="O52" s="4" t="s">
        <v>309</v>
      </c>
    </row>
    <row r="53" spans="1:15" ht="25.15" customHeight="1" x14ac:dyDescent="0.15">
      <c r="A53" s="44"/>
      <c r="B53" s="40"/>
      <c r="C53" s="15" t="s">
        <v>85</v>
      </c>
      <c r="D53" s="14"/>
      <c r="E53" s="9" t="s">
        <v>86</v>
      </c>
      <c r="F53" s="27"/>
      <c r="G53" s="28"/>
      <c r="H53" s="28"/>
      <c r="I53" s="28"/>
      <c r="J53" s="28"/>
      <c r="K53" s="28"/>
      <c r="L53" s="28" t="s">
        <v>247</v>
      </c>
      <c r="M53" s="28"/>
      <c r="N53" s="28"/>
    </row>
    <row r="54" spans="1:15" ht="25.15" customHeight="1" x14ac:dyDescent="0.15">
      <c r="A54" s="44">
        <v>15</v>
      </c>
      <c r="B54" s="38" t="s">
        <v>87</v>
      </c>
      <c r="C54" s="8" t="s">
        <v>88</v>
      </c>
      <c r="D54" s="8" t="s">
        <v>89</v>
      </c>
      <c r="E54" s="9" t="s">
        <v>90</v>
      </c>
      <c r="F54" s="27" t="s">
        <v>198</v>
      </c>
      <c r="G54" s="28" t="s">
        <v>221</v>
      </c>
      <c r="H54" s="28" t="s">
        <v>227</v>
      </c>
      <c r="I54" s="28"/>
      <c r="J54" s="28"/>
      <c r="K54" s="28" t="s">
        <v>88</v>
      </c>
      <c r="L54" s="28" t="s">
        <v>88</v>
      </c>
      <c r="M54" s="28" t="s">
        <v>88</v>
      </c>
      <c r="N54" s="28" t="s">
        <v>83</v>
      </c>
      <c r="O54" s="4" t="s">
        <v>310</v>
      </c>
    </row>
    <row r="55" spans="1:15" ht="25.15" customHeight="1" x14ac:dyDescent="0.15">
      <c r="A55" s="44"/>
      <c r="B55" s="40"/>
      <c r="C55" s="8"/>
      <c r="D55" s="8"/>
      <c r="E55" s="9" t="s">
        <v>91</v>
      </c>
      <c r="F55" s="27"/>
      <c r="G55" s="28"/>
      <c r="H55" s="28"/>
      <c r="I55" s="28"/>
      <c r="J55" s="28"/>
      <c r="K55" s="28"/>
      <c r="L55" s="28"/>
      <c r="M55" s="28"/>
      <c r="N55" s="28"/>
    </row>
    <row r="56" spans="1:15" ht="25.15" customHeight="1" x14ac:dyDescent="0.15">
      <c r="A56" s="44">
        <v>16</v>
      </c>
      <c r="B56" s="38" t="s">
        <v>92</v>
      </c>
      <c r="C56" s="8" t="s">
        <v>93</v>
      </c>
      <c r="D56" s="8" t="s">
        <v>94</v>
      </c>
      <c r="E56" s="9" t="s">
        <v>95</v>
      </c>
      <c r="F56" s="27" t="s">
        <v>199</v>
      </c>
      <c r="G56" s="28" t="s">
        <v>221</v>
      </c>
      <c r="H56" s="28" t="s">
        <v>225</v>
      </c>
      <c r="I56" s="28" t="s">
        <v>226</v>
      </c>
      <c r="J56" s="28" t="s">
        <v>236</v>
      </c>
      <c r="K56" s="28" t="s">
        <v>93</v>
      </c>
      <c r="L56" s="28" t="s">
        <v>258</v>
      </c>
      <c r="M56" s="32" t="s">
        <v>339</v>
      </c>
      <c r="N56" s="28" t="s">
        <v>83</v>
      </c>
      <c r="O56" s="4" t="s">
        <v>311</v>
      </c>
    </row>
    <row r="57" spans="1:15" ht="25.15" customHeight="1" x14ac:dyDescent="0.15">
      <c r="A57" s="44"/>
      <c r="B57" s="39"/>
      <c r="C57" s="8" t="s">
        <v>93</v>
      </c>
      <c r="D57" s="8" t="s">
        <v>94</v>
      </c>
      <c r="E57" s="9" t="s">
        <v>95</v>
      </c>
      <c r="F57" s="27" t="s">
        <v>199</v>
      </c>
      <c r="G57" s="28" t="s">
        <v>221</v>
      </c>
      <c r="H57" s="28" t="s">
        <v>225</v>
      </c>
      <c r="I57" s="28" t="s">
        <v>226</v>
      </c>
      <c r="J57" s="28" t="s">
        <v>236</v>
      </c>
      <c r="K57" s="28" t="s">
        <v>93</v>
      </c>
      <c r="L57" s="28" t="s">
        <v>258</v>
      </c>
      <c r="M57" s="32" t="s">
        <v>329</v>
      </c>
      <c r="N57" s="28" t="s">
        <v>83</v>
      </c>
      <c r="O57" s="4" t="s">
        <v>311</v>
      </c>
    </row>
    <row r="58" spans="1:15" ht="25.15" customHeight="1" x14ac:dyDescent="0.15">
      <c r="A58" s="44"/>
      <c r="B58" s="39"/>
      <c r="C58" s="8" t="s">
        <v>93</v>
      </c>
      <c r="D58" s="8" t="s">
        <v>94</v>
      </c>
      <c r="E58" s="9" t="s">
        <v>95</v>
      </c>
      <c r="F58" s="27" t="s">
        <v>199</v>
      </c>
      <c r="G58" s="28" t="s">
        <v>221</v>
      </c>
      <c r="H58" s="28" t="s">
        <v>225</v>
      </c>
      <c r="I58" s="28" t="s">
        <v>226</v>
      </c>
      <c r="J58" s="28" t="s">
        <v>236</v>
      </c>
      <c r="K58" s="28" t="s">
        <v>93</v>
      </c>
      <c r="L58" s="28" t="s">
        <v>258</v>
      </c>
      <c r="M58" s="32" t="s">
        <v>340</v>
      </c>
      <c r="N58" s="28" t="s">
        <v>83</v>
      </c>
      <c r="O58" s="4" t="s">
        <v>311</v>
      </c>
    </row>
    <row r="59" spans="1:15" ht="25.15" customHeight="1" x14ac:dyDescent="0.15">
      <c r="A59" s="44"/>
      <c r="B59" s="39"/>
      <c r="C59" s="8" t="s">
        <v>93</v>
      </c>
      <c r="D59" s="8" t="s">
        <v>94</v>
      </c>
      <c r="E59" s="9" t="s">
        <v>95</v>
      </c>
      <c r="F59" s="27" t="s">
        <v>199</v>
      </c>
      <c r="G59" s="28" t="s">
        <v>221</v>
      </c>
      <c r="H59" s="28" t="s">
        <v>225</v>
      </c>
      <c r="I59" s="28" t="s">
        <v>226</v>
      </c>
      <c r="J59" s="28" t="s">
        <v>236</v>
      </c>
      <c r="K59" s="28" t="s">
        <v>93</v>
      </c>
      <c r="L59" s="28" t="s">
        <v>258</v>
      </c>
      <c r="M59" s="32" t="s">
        <v>341</v>
      </c>
      <c r="N59" s="28" t="s">
        <v>83</v>
      </c>
      <c r="O59" s="4" t="s">
        <v>311</v>
      </c>
    </row>
    <row r="60" spans="1:15" ht="25.15" customHeight="1" x14ac:dyDescent="0.15">
      <c r="A60" s="44"/>
      <c r="B60" s="39"/>
      <c r="C60" s="8" t="s">
        <v>93</v>
      </c>
      <c r="D60" s="8" t="s">
        <v>94</v>
      </c>
      <c r="E60" s="9" t="s">
        <v>95</v>
      </c>
      <c r="F60" s="27" t="s">
        <v>199</v>
      </c>
      <c r="G60" s="28" t="s">
        <v>221</v>
      </c>
      <c r="H60" s="28" t="s">
        <v>225</v>
      </c>
      <c r="I60" s="28" t="s">
        <v>226</v>
      </c>
      <c r="J60" s="28" t="s">
        <v>236</v>
      </c>
      <c r="K60" s="28" t="s">
        <v>93</v>
      </c>
      <c r="L60" s="28" t="s">
        <v>258</v>
      </c>
      <c r="M60" s="32" t="s">
        <v>342</v>
      </c>
      <c r="N60" s="28" t="s">
        <v>83</v>
      </c>
      <c r="O60" s="4" t="s">
        <v>311</v>
      </c>
    </row>
    <row r="61" spans="1:15" ht="25.15" customHeight="1" x14ac:dyDescent="0.15">
      <c r="A61" s="44"/>
      <c r="B61" s="40"/>
      <c r="C61" s="8" t="s">
        <v>93</v>
      </c>
      <c r="D61" s="8" t="s">
        <v>94</v>
      </c>
      <c r="E61" s="9" t="s">
        <v>95</v>
      </c>
      <c r="F61" s="27" t="s">
        <v>199</v>
      </c>
      <c r="G61" s="28" t="s">
        <v>221</v>
      </c>
      <c r="H61" s="28" t="s">
        <v>225</v>
      </c>
      <c r="I61" s="28" t="s">
        <v>226</v>
      </c>
      <c r="J61" s="28" t="s">
        <v>236</v>
      </c>
      <c r="K61" s="28" t="s">
        <v>93</v>
      </c>
      <c r="L61" s="28" t="s">
        <v>258</v>
      </c>
      <c r="M61" s="32" t="s">
        <v>343</v>
      </c>
      <c r="N61" s="28" t="s">
        <v>83</v>
      </c>
      <c r="O61" s="4" t="s">
        <v>311</v>
      </c>
    </row>
    <row r="62" spans="1:15" ht="25.15" customHeight="1" x14ac:dyDescent="0.15">
      <c r="A62" s="29">
        <v>17</v>
      </c>
      <c r="B62" s="10" t="s">
        <v>96</v>
      </c>
      <c r="C62" s="8" t="s">
        <v>97</v>
      </c>
      <c r="D62" s="8" t="s">
        <v>97</v>
      </c>
      <c r="E62" s="9" t="s">
        <v>97</v>
      </c>
      <c r="F62" s="27" t="s">
        <v>200</v>
      </c>
      <c r="G62" s="28" t="s">
        <v>221</v>
      </c>
      <c r="H62" s="28" t="s">
        <v>224</v>
      </c>
      <c r="I62" s="28"/>
      <c r="J62" s="28"/>
      <c r="K62" s="28" t="s">
        <v>97</v>
      </c>
      <c r="L62" s="28"/>
      <c r="M62" s="28"/>
      <c r="N62" s="34" t="s">
        <v>324</v>
      </c>
      <c r="O62" s="4" t="s">
        <v>312</v>
      </c>
    </row>
    <row r="63" spans="1:15" ht="51.75" customHeight="1" x14ac:dyDescent="0.15">
      <c r="A63" s="44">
        <v>18</v>
      </c>
      <c r="B63" s="38" t="s">
        <v>98</v>
      </c>
      <c r="C63" s="8" t="s">
        <v>99</v>
      </c>
      <c r="D63" s="8"/>
      <c r="E63" s="9" t="s">
        <v>100</v>
      </c>
      <c r="F63" s="27" t="s">
        <v>201</v>
      </c>
      <c r="G63" s="28" t="s">
        <v>221</v>
      </c>
      <c r="H63" s="28" t="s">
        <v>222</v>
      </c>
      <c r="I63" s="28"/>
      <c r="J63" s="28"/>
      <c r="K63" s="28" t="s">
        <v>99</v>
      </c>
      <c r="L63" s="28" t="s">
        <v>345</v>
      </c>
      <c r="M63" s="32" t="s">
        <v>346</v>
      </c>
      <c r="N63" s="28" t="s">
        <v>83</v>
      </c>
      <c r="O63" s="4" t="s">
        <v>313</v>
      </c>
    </row>
    <row r="64" spans="1:15" ht="51.75" customHeight="1" x14ac:dyDescent="0.15">
      <c r="A64" s="44"/>
      <c r="B64" s="39"/>
      <c r="C64" s="8" t="s">
        <v>99</v>
      </c>
      <c r="D64" s="8"/>
      <c r="E64" s="9" t="s">
        <v>100</v>
      </c>
      <c r="F64" s="27" t="s">
        <v>201</v>
      </c>
      <c r="G64" s="28" t="s">
        <v>221</v>
      </c>
      <c r="H64" s="28" t="s">
        <v>222</v>
      </c>
      <c r="I64" s="28"/>
      <c r="J64" s="28"/>
      <c r="K64" s="28" t="s">
        <v>99</v>
      </c>
      <c r="L64" s="28" t="s">
        <v>344</v>
      </c>
      <c r="M64" s="32" t="s">
        <v>344</v>
      </c>
      <c r="N64" s="28"/>
    </row>
    <row r="65" spans="1:15" ht="51.75" customHeight="1" x14ac:dyDescent="0.15">
      <c r="A65" s="44"/>
      <c r="B65" s="40"/>
      <c r="C65" s="8" t="s">
        <v>99</v>
      </c>
      <c r="D65" s="8"/>
      <c r="E65" s="9"/>
      <c r="F65" s="27" t="s">
        <v>201</v>
      </c>
      <c r="G65" s="28" t="s">
        <v>221</v>
      </c>
      <c r="H65" s="28" t="s">
        <v>222</v>
      </c>
      <c r="I65" s="28"/>
      <c r="J65" s="28"/>
      <c r="K65" s="28" t="s">
        <v>99</v>
      </c>
      <c r="L65" s="28"/>
      <c r="M65" s="32" t="s">
        <v>345</v>
      </c>
      <c r="N65" s="28"/>
    </row>
    <row r="66" spans="1:15" ht="25.15" customHeight="1" x14ac:dyDescent="0.15">
      <c r="A66" s="44">
        <v>19</v>
      </c>
      <c r="B66" s="38" t="s">
        <v>101</v>
      </c>
      <c r="C66" s="8" t="s">
        <v>102</v>
      </c>
      <c r="D66" s="8"/>
      <c r="E66" s="9" t="s">
        <v>103</v>
      </c>
      <c r="F66" s="27" t="s">
        <v>202</v>
      </c>
      <c r="G66" s="28" t="s">
        <v>221</v>
      </c>
      <c r="H66" s="28" t="s">
        <v>224</v>
      </c>
      <c r="I66" s="28"/>
      <c r="J66" s="28" t="s">
        <v>237</v>
      </c>
      <c r="K66" s="28"/>
      <c r="L66" s="28" t="s">
        <v>247</v>
      </c>
      <c r="M66" s="28"/>
      <c r="N66" s="28" t="s">
        <v>325</v>
      </c>
      <c r="O66" s="4" t="s">
        <v>314</v>
      </c>
    </row>
    <row r="67" spans="1:15" ht="25.15" customHeight="1" x14ac:dyDescent="0.15">
      <c r="A67" s="44"/>
      <c r="B67" s="40"/>
      <c r="C67" s="8" t="s">
        <v>104</v>
      </c>
      <c r="D67" s="8"/>
      <c r="E67" s="9" t="s">
        <v>105</v>
      </c>
      <c r="F67" s="27" t="s">
        <v>203</v>
      </c>
      <c r="G67" s="28" t="s">
        <v>221</v>
      </c>
      <c r="H67" s="28" t="s">
        <v>238</v>
      </c>
      <c r="I67" s="28"/>
      <c r="J67" s="28"/>
      <c r="K67" s="28" t="s">
        <v>270</v>
      </c>
      <c r="L67" s="28" t="s">
        <v>247</v>
      </c>
      <c r="M67" s="28"/>
      <c r="N67" s="28" t="s">
        <v>325</v>
      </c>
      <c r="O67" s="4" t="s">
        <v>315</v>
      </c>
    </row>
    <row r="68" spans="1:15" ht="25.15" customHeight="1" x14ac:dyDescent="0.15">
      <c r="A68" s="44">
        <v>20</v>
      </c>
      <c r="B68" s="38" t="s">
        <v>106</v>
      </c>
      <c r="C68" s="8" t="s">
        <v>107</v>
      </c>
      <c r="D68" s="8" t="s">
        <v>108</v>
      </c>
      <c r="E68" s="9" t="s">
        <v>107</v>
      </c>
      <c r="F68" s="27" t="s">
        <v>204</v>
      </c>
      <c r="G68" s="28" t="s">
        <v>221</v>
      </c>
      <c r="H68" s="28" t="s">
        <v>224</v>
      </c>
      <c r="I68" s="28"/>
      <c r="J68" s="28"/>
      <c r="K68" s="28"/>
      <c r="L68" s="28" t="s">
        <v>284</v>
      </c>
      <c r="M68" s="28"/>
      <c r="N68" s="28" t="s">
        <v>276</v>
      </c>
      <c r="O68" s="4" t="s">
        <v>316</v>
      </c>
    </row>
    <row r="69" spans="1:15" ht="25.15" customHeight="1" x14ac:dyDescent="0.15">
      <c r="A69" s="44"/>
      <c r="B69" s="39"/>
      <c r="C69" s="8" t="s">
        <v>109</v>
      </c>
      <c r="D69" s="33"/>
      <c r="E69" s="9" t="s">
        <v>110</v>
      </c>
      <c r="F69" s="27" t="s">
        <v>205</v>
      </c>
      <c r="G69" s="28" t="s">
        <v>228</v>
      </c>
      <c r="H69" s="28" t="s">
        <v>229</v>
      </c>
      <c r="I69" s="28"/>
      <c r="J69" s="28"/>
      <c r="K69" s="28"/>
      <c r="L69" s="28" t="s">
        <v>347</v>
      </c>
      <c r="M69" s="28" t="s">
        <v>276</v>
      </c>
      <c r="N69" s="28" t="s">
        <v>276</v>
      </c>
    </row>
    <row r="70" spans="1:15" ht="25.15" customHeight="1" x14ac:dyDescent="0.15">
      <c r="A70" s="44"/>
      <c r="B70" s="40"/>
      <c r="C70" s="8"/>
      <c r="D70" s="8"/>
      <c r="E70" s="9" t="s">
        <v>111</v>
      </c>
      <c r="F70" s="27"/>
      <c r="G70" s="28"/>
      <c r="H70" s="28"/>
      <c r="I70" s="28"/>
      <c r="J70" s="28"/>
      <c r="K70" s="28"/>
      <c r="L70" s="28"/>
      <c r="M70" s="28"/>
      <c r="N70" s="28"/>
    </row>
    <row r="71" spans="1:15" ht="25.15" customHeight="1" x14ac:dyDescent="0.15">
      <c r="A71" s="44">
        <v>21</v>
      </c>
      <c r="B71" s="38" t="s">
        <v>112</v>
      </c>
      <c r="C71" s="8" t="s">
        <v>113</v>
      </c>
      <c r="D71" s="8" t="s">
        <v>114</v>
      </c>
      <c r="E71" s="9" t="s">
        <v>115</v>
      </c>
      <c r="F71" s="27" t="s">
        <v>206</v>
      </c>
      <c r="G71" s="28" t="s">
        <v>221</v>
      </c>
      <c r="H71" s="28" t="s">
        <v>225</v>
      </c>
      <c r="I71" s="28"/>
      <c r="J71" s="28"/>
      <c r="K71" s="28"/>
      <c r="L71" s="28" t="s">
        <v>348</v>
      </c>
      <c r="M71" s="28" t="s">
        <v>276</v>
      </c>
      <c r="N71" s="28" t="s">
        <v>276</v>
      </c>
      <c r="O71" s="4" t="s">
        <v>317</v>
      </c>
    </row>
    <row r="72" spans="1:15" ht="25.15" customHeight="1" x14ac:dyDescent="0.15">
      <c r="A72" s="44"/>
      <c r="B72" s="39"/>
      <c r="C72" s="11" t="s">
        <v>116</v>
      </c>
      <c r="D72" s="8"/>
      <c r="E72" s="9" t="s">
        <v>117</v>
      </c>
      <c r="F72" s="27" t="s">
        <v>262</v>
      </c>
      <c r="G72" s="28"/>
      <c r="H72" s="28"/>
      <c r="I72" s="28"/>
      <c r="J72" s="28"/>
      <c r="K72" s="28"/>
      <c r="L72" s="28" t="s">
        <v>247</v>
      </c>
      <c r="M72" s="28"/>
      <c r="N72" s="28"/>
    </row>
    <row r="73" spans="1:15" ht="25.15" customHeight="1" x14ac:dyDescent="0.15">
      <c r="A73" s="44"/>
      <c r="B73" s="40"/>
      <c r="C73" s="8"/>
      <c r="D73" s="8"/>
      <c r="E73" s="9" t="s">
        <v>118</v>
      </c>
      <c r="F73" s="27"/>
      <c r="G73" s="28"/>
      <c r="H73" s="28"/>
      <c r="I73" s="28"/>
      <c r="J73" s="28"/>
      <c r="K73" s="28"/>
      <c r="L73" s="28"/>
      <c r="M73" s="28"/>
      <c r="N73" s="28"/>
    </row>
    <row r="74" spans="1:15" ht="25.15" customHeight="1" x14ac:dyDescent="0.15">
      <c r="A74" s="44">
        <v>22</v>
      </c>
      <c r="B74" s="35" t="s">
        <v>119</v>
      </c>
      <c r="C74" s="8" t="s">
        <v>120</v>
      </c>
      <c r="D74" s="8" t="s">
        <v>121</v>
      </c>
      <c r="E74" s="9" t="s">
        <v>122</v>
      </c>
      <c r="F74" s="27" t="s">
        <v>207</v>
      </c>
      <c r="G74" s="28" t="s">
        <v>221</v>
      </c>
      <c r="H74" s="28" t="s">
        <v>231</v>
      </c>
      <c r="I74" s="28"/>
      <c r="J74" s="28" t="s">
        <v>235</v>
      </c>
      <c r="K74" s="28" t="s">
        <v>173</v>
      </c>
      <c r="L74" s="28" t="s">
        <v>259</v>
      </c>
      <c r="M74" s="28"/>
      <c r="N74" s="28"/>
      <c r="O74" s="4" t="s">
        <v>318</v>
      </c>
    </row>
    <row r="75" spans="1:15" ht="25.15" customHeight="1" x14ac:dyDescent="0.15">
      <c r="A75" s="44"/>
      <c r="B75" s="36"/>
      <c r="C75" s="8" t="s">
        <v>123</v>
      </c>
      <c r="D75" s="8" t="s">
        <v>124</v>
      </c>
      <c r="E75" s="9" t="s">
        <v>125</v>
      </c>
      <c r="F75" s="27" t="s">
        <v>208</v>
      </c>
      <c r="G75" s="28"/>
      <c r="H75" s="28"/>
      <c r="I75" s="28"/>
      <c r="J75" s="28"/>
      <c r="K75" s="28"/>
      <c r="L75" s="28" t="s">
        <v>260</v>
      </c>
      <c r="M75" s="28"/>
      <c r="N75" s="28"/>
    </row>
    <row r="76" spans="1:15" ht="25.15" customHeight="1" x14ac:dyDescent="0.15">
      <c r="A76" s="44"/>
      <c r="B76" s="36"/>
      <c r="C76" s="8" t="s">
        <v>126</v>
      </c>
      <c r="D76" s="8" t="s">
        <v>127</v>
      </c>
      <c r="E76" s="9" t="s">
        <v>128</v>
      </c>
      <c r="F76" s="27" t="s">
        <v>209</v>
      </c>
      <c r="G76" s="28"/>
      <c r="H76" s="28"/>
      <c r="I76" s="28"/>
      <c r="J76" s="28"/>
      <c r="K76" s="28"/>
      <c r="L76" s="28"/>
      <c r="M76" s="28"/>
      <c r="N76" s="28"/>
    </row>
    <row r="77" spans="1:15" ht="25.15" customHeight="1" x14ac:dyDescent="0.15">
      <c r="A77" s="44"/>
      <c r="B77" s="36"/>
      <c r="C77" s="8" t="s">
        <v>129</v>
      </c>
      <c r="D77" s="8" t="s">
        <v>130</v>
      </c>
      <c r="E77" s="9" t="s">
        <v>131</v>
      </c>
      <c r="F77" s="27" t="s">
        <v>210</v>
      </c>
      <c r="G77" s="28" t="s">
        <v>221</v>
      </c>
      <c r="H77" s="28" t="s">
        <v>239</v>
      </c>
      <c r="I77" s="28"/>
      <c r="J77" s="28"/>
      <c r="K77" s="28" t="s">
        <v>352</v>
      </c>
      <c r="L77" s="28" t="s">
        <v>261</v>
      </c>
      <c r="M77" s="28" t="s">
        <v>278</v>
      </c>
      <c r="N77" s="28" t="s">
        <v>278</v>
      </c>
      <c r="O77" s="4" t="s">
        <v>319</v>
      </c>
    </row>
    <row r="78" spans="1:15" ht="25.15" customHeight="1" x14ac:dyDescent="0.15">
      <c r="A78" s="44"/>
      <c r="B78" s="37"/>
      <c r="C78" s="8" t="s">
        <v>129</v>
      </c>
      <c r="D78" s="8" t="s">
        <v>130</v>
      </c>
      <c r="E78" s="9" t="s">
        <v>131</v>
      </c>
      <c r="F78" s="27" t="s">
        <v>210</v>
      </c>
      <c r="G78" s="28" t="s">
        <v>221</v>
      </c>
      <c r="H78" s="28" t="s">
        <v>239</v>
      </c>
      <c r="I78" s="28"/>
      <c r="J78" s="28"/>
      <c r="K78" s="28" t="s">
        <v>353</v>
      </c>
      <c r="L78" s="28" t="s">
        <v>261</v>
      </c>
      <c r="M78" s="28" t="s">
        <v>278</v>
      </c>
      <c r="N78" s="28" t="s">
        <v>278</v>
      </c>
      <c r="O78" s="4" t="s">
        <v>319</v>
      </c>
    </row>
    <row r="79" spans="1:15" ht="25.15" customHeight="1" x14ac:dyDescent="0.15">
      <c r="A79" s="29">
        <v>23</v>
      </c>
      <c r="B79" s="10" t="s">
        <v>132</v>
      </c>
      <c r="C79" s="8" t="s">
        <v>133</v>
      </c>
      <c r="D79" s="8"/>
      <c r="E79" s="9" t="s">
        <v>134</v>
      </c>
      <c r="F79" s="27" t="s">
        <v>211</v>
      </c>
      <c r="G79" s="28" t="s">
        <v>221</v>
      </c>
      <c r="H79" s="28" t="s">
        <v>224</v>
      </c>
      <c r="I79" s="28"/>
      <c r="J79" s="28"/>
      <c r="K79" s="28" t="s">
        <v>133</v>
      </c>
      <c r="L79" s="28" t="s">
        <v>133</v>
      </c>
      <c r="M79" s="28"/>
      <c r="N79" s="28" t="s">
        <v>279</v>
      </c>
      <c r="O79" s="4" t="s">
        <v>320</v>
      </c>
    </row>
    <row r="80" spans="1:15" ht="25.15" customHeight="1" x14ac:dyDescent="0.15">
      <c r="A80" s="44">
        <v>24</v>
      </c>
      <c r="B80" s="38" t="s">
        <v>135</v>
      </c>
      <c r="C80" s="8" t="s">
        <v>136</v>
      </c>
      <c r="D80" s="8" t="s">
        <v>137</v>
      </c>
      <c r="E80" s="9" t="s">
        <v>138</v>
      </c>
      <c r="F80" s="27" t="s">
        <v>212</v>
      </c>
      <c r="G80" s="28" t="s">
        <v>228</v>
      </c>
      <c r="H80" s="28" t="s">
        <v>230</v>
      </c>
      <c r="I80" s="28"/>
      <c r="J80" s="28"/>
      <c r="K80" s="28" t="s">
        <v>136</v>
      </c>
      <c r="L80" s="28"/>
      <c r="M80" s="28"/>
      <c r="N80" s="28" t="s">
        <v>279</v>
      </c>
      <c r="O80" s="4" t="s">
        <v>321</v>
      </c>
    </row>
    <row r="81" spans="1:15" ht="25.15" customHeight="1" x14ac:dyDescent="0.15">
      <c r="A81" s="44"/>
      <c r="B81" s="39"/>
      <c r="C81" s="8"/>
      <c r="D81" s="8" t="s">
        <v>139</v>
      </c>
      <c r="E81" s="9" t="s">
        <v>140</v>
      </c>
      <c r="F81" s="27"/>
      <c r="G81" s="28"/>
      <c r="H81" s="28"/>
      <c r="I81" s="28"/>
      <c r="J81" s="28"/>
      <c r="K81" s="28"/>
      <c r="L81" s="28"/>
      <c r="M81" s="28"/>
      <c r="N81" s="28"/>
    </row>
    <row r="82" spans="1:15" ht="25.15" customHeight="1" x14ac:dyDescent="0.15">
      <c r="A82" s="44"/>
      <c r="B82" s="39"/>
      <c r="C82" s="8"/>
      <c r="D82" s="8"/>
      <c r="E82" s="9" t="s">
        <v>141</v>
      </c>
      <c r="F82" s="27"/>
      <c r="G82" s="28"/>
      <c r="H82" s="28"/>
      <c r="I82" s="28"/>
      <c r="J82" s="28"/>
      <c r="K82" s="28"/>
      <c r="L82" s="28"/>
      <c r="M82" s="28"/>
      <c r="N82" s="28"/>
    </row>
    <row r="83" spans="1:15" ht="25.15" customHeight="1" x14ac:dyDescent="0.15">
      <c r="A83" s="44"/>
      <c r="B83" s="39"/>
      <c r="C83" s="8"/>
      <c r="D83" s="8"/>
      <c r="E83" s="9" t="s">
        <v>142</v>
      </c>
      <c r="F83" s="27"/>
      <c r="G83" s="28"/>
      <c r="H83" s="28"/>
      <c r="I83" s="28"/>
      <c r="J83" s="28"/>
      <c r="K83" s="28"/>
      <c r="L83" s="28"/>
      <c r="M83" s="28"/>
      <c r="N83" s="28"/>
    </row>
    <row r="84" spans="1:15" ht="25.15" customHeight="1" x14ac:dyDescent="0.15">
      <c r="A84" s="44"/>
      <c r="B84" s="40"/>
      <c r="C84" s="8"/>
      <c r="D84" s="8"/>
      <c r="E84" s="9" t="s">
        <v>143</v>
      </c>
      <c r="F84" s="27"/>
      <c r="G84" s="28"/>
      <c r="H84" s="28"/>
      <c r="I84" s="28"/>
      <c r="J84" s="28"/>
      <c r="K84" s="28"/>
      <c r="L84" s="28"/>
      <c r="M84" s="28"/>
      <c r="N84" s="28"/>
    </row>
    <row r="85" spans="1:15" ht="25.15" customHeight="1" x14ac:dyDescent="0.15">
      <c r="A85" s="29">
        <v>25</v>
      </c>
      <c r="B85" s="10" t="s">
        <v>144</v>
      </c>
      <c r="C85" s="11" t="s">
        <v>145</v>
      </c>
      <c r="D85" s="8" t="s">
        <v>146</v>
      </c>
      <c r="E85" s="10"/>
      <c r="F85" s="27"/>
      <c r="G85" s="28"/>
      <c r="H85" s="28"/>
      <c r="I85" s="28"/>
      <c r="J85" s="28"/>
      <c r="K85" s="28"/>
      <c r="L85" s="28" t="s">
        <v>247</v>
      </c>
      <c r="M85" s="28"/>
      <c r="N85" s="28"/>
    </row>
    <row r="86" spans="1:15" ht="25.15" customHeight="1" x14ac:dyDescent="0.15">
      <c r="A86" s="29">
        <v>26</v>
      </c>
      <c r="B86" s="10" t="s">
        <v>147</v>
      </c>
      <c r="C86" s="8" t="s">
        <v>148</v>
      </c>
      <c r="D86" s="8"/>
      <c r="E86" s="9" t="s">
        <v>148</v>
      </c>
      <c r="F86" s="27" t="s">
        <v>213</v>
      </c>
      <c r="G86" s="28" t="s">
        <v>221</v>
      </c>
      <c r="H86" s="28" t="s">
        <v>227</v>
      </c>
      <c r="I86" s="28"/>
      <c r="J86" s="28" t="s">
        <v>240</v>
      </c>
      <c r="K86" s="28"/>
      <c r="L86" s="28" t="s">
        <v>247</v>
      </c>
      <c r="M86" s="28"/>
      <c r="N86" s="28"/>
    </row>
    <row r="87" spans="1:15" ht="25.15" customHeight="1" x14ac:dyDescent="0.15">
      <c r="A87" s="44">
        <v>27</v>
      </c>
      <c r="B87" s="38" t="s">
        <v>149</v>
      </c>
      <c r="C87" s="8" t="s">
        <v>150</v>
      </c>
      <c r="D87" s="8" t="s">
        <v>151</v>
      </c>
      <c r="E87" s="9" t="s">
        <v>152</v>
      </c>
      <c r="F87" s="27" t="s">
        <v>214</v>
      </c>
      <c r="G87" s="28" t="s">
        <v>228</v>
      </c>
      <c r="H87" s="28" t="s">
        <v>239</v>
      </c>
      <c r="I87" s="28"/>
      <c r="J87" s="28"/>
      <c r="K87" s="28" t="s">
        <v>150</v>
      </c>
      <c r="L87" s="28"/>
      <c r="M87" s="28" t="s">
        <v>280</v>
      </c>
      <c r="N87" s="28" t="s">
        <v>150</v>
      </c>
      <c r="O87" s="4" t="s">
        <v>322</v>
      </c>
    </row>
    <row r="88" spans="1:15" ht="25.15" customHeight="1" x14ac:dyDescent="0.15">
      <c r="A88" s="44"/>
      <c r="B88" s="40"/>
      <c r="C88" s="8"/>
      <c r="D88" s="8" t="s">
        <v>153</v>
      </c>
      <c r="E88" s="9"/>
      <c r="F88" s="27"/>
      <c r="G88" s="28"/>
      <c r="H88" s="28"/>
      <c r="I88" s="28"/>
      <c r="J88" s="28"/>
      <c r="K88" s="28"/>
      <c r="L88" s="28"/>
      <c r="M88" s="28"/>
      <c r="N88" s="28"/>
    </row>
    <row r="89" spans="1:15" ht="25.15" customHeight="1" x14ac:dyDescent="0.15">
      <c r="A89" s="44">
        <v>28</v>
      </c>
      <c r="B89" s="38" t="s">
        <v>154</v>
      </c>
      <c r="C89" s="8"/>
      <c r="D89" s="8" t="s">
        <v>155</v>
      </c>
      <c r="E89" s="10"/>
      <c r="F89" s="27"/>
      <c r="G89" s="28"/>
      <c r="H89" s="28"/>
      <c r="I89" s="28"/>
      <c r="J89" s="28"/>
      <c r="K89" s="28"/>
      <c r="L89" s="28"/>
      <c r="M89" s="28"/>
      <c r="N89" s="28"/>
    </row>
    <row r="90" spans="1:15" ht="25.15" customHeight="1" x14ac:dyDescent="0.15">
      <c r="A90" s="44"/>
      <c r="B90" s="40"/>
      <c r="C90" s="8"/>
      <c r="D90" s="8"/>
      <c r="E90" s="10"/>
      <c r="F90" s="27"/>
      <c r="G90" s="28"/>
      <c r="H90" s="28"/>
      <c r="I90" s="28"/>
      <c r="J90" s="28"/>
      <c r="K90" s="28"/>
      <c r="L90" s="28"/>
      <c r="M90" s="28"/>
      <c r="N90" s="28"/>
    </row>
    <row r="91" spans="1:15" ht="25.15" customHeight="1" x14ac:dyDescent="0.15">
      <c r="A91" s="29">
        <v>29</v>
      </c>
      <c r="B91" s="10" t="s">
        <v>156</v>
      </c>
      <c r="C91" s="8" t="s">
        <v>157</v>
      </c>
      <c r="D91" s="8" t="s">
        <v>158</v>
      </c>
      <c r="E91" s="9" t="s">
        <v>157</v>
      </c>
      <c r="F91" s="27" t="s">
        <v>215</v>
      </c>
      <c r="G91" s="28" t="s">
        <v>221</v>
      </c>
      <c r="H91" s="28" t="s">
        <v>224</v>
      </c>
      <c r="I91" s="28"/>
      <c r="J91" s="28"/>
      <c r="K91" s="28" t="s">
        <v>157</v>
      </c>
      <c r="L91" s="28" t="s">
        <v>351</v>
      </c>
      <c r="M91" s="28"/>
      <c r="N91" s="28" t="s">
        <v>157</v>
      </c>
      <c r="O91" s="4" t="s">
        <v>323</v>
      </c>
    </row>
    <row r="92" spans="1:15" ht="25.15" customHeight="1" x14ac:dyDescent="0.15">
      <c r="A92" s="29">
        <v>30</v>
      </c>
      <c r="B92" s="16" t="s">
        <v>159</v>
      </c>
      <c r="C92" s="11" t="s">
        <v>160</v>
      </c>
      <c r="D92" s="8"/>
      <c r="E92" s="10"/>
      <c r="F92" s="27">
        <v>1405</v>
      </c>
      <c r="G92" s="28"/>
      <c r="H92" s="28"/>
      <c r="I92" s="28"/>
      <c r="J92" s="28"/>
      <c r="K92" s="28"/>
      <c r="L92" s="28" t="s">
        <v>251</v>
      </c>
      <c r="M92" s="28" t="s">
        <v>282</v>
      </c>
      <c r="N92" s="28"/>
    </row>
    <row r="93" spans="1:15" ht="25.15" customHeight="1" x14ac:dyDescent="0.15">
      <c r="A93" s="44">
        <v>31</v>
      </c>
      <c r="B93" s="41" t="s">
        <v>161</v>
      </c>
      <c r="C93" s="17"/>
      <c r="D93" s="17"/>
      <c r="E93" s="9" t="s">
        <v>162</v>
      </c>
      <c r="F93" s="27"/>
      <c r="G93" s="28"/>
      <c r="H93" s="28"/>
      <c r="I93" s="28"/>
      <c r="J93" s="28"/>
      <c r="K93" s="28"/>
      <c r="L93" s="28"/>
      <c r="M93" s="28"/>
      <c r="N93" s="28"/>
    </row>
    <row r="94" spans="1:15" ht="25.15" customHeight="1" x14ac:dyDescent="0.15">
      <c r="A94" s="44"/>
      <c r="B94" s="42"/>
      <c r="C94" s="17"/>
      <c r="D94" s="17"/>
      <c r="E94" s="9" t="s">
        <v>163</v>
      </c>
      <c r="F94" s="27"/>
      <c r="G94" s="28"/>
      <c r="H94" s="28"/>
      <c r="I94" s="28"/>
      <c r="J94" s="28"/>
      <c r="K94" s="28"/>
      <c r="L94" s="28"/>
      <c r="M94" s="28"/>
      <c r="N94" s="28"/>
    </row>
    <row r="95" spans="1:15" ht="25.15" customHeight="1" x14ac:dyDescent="0.15">
      <c r="A95" s="44"/>
      <c r="B95" s="43"/>
      <c r="C95" s="17"/>
      <c r="D95" s="17"/>
      <c r="E95" s="9"/>
      <c r="F95" s="27"/>
      <c r="G95" s="28"/>
      <c r="H95" s="28"/>
      <c r="I95" s="28"/>
      <c r="J95" s="28"/>
      <c r="K95" s="28"/>
      <c r="L95" s="28"/>
      <c r="M95" s="28"/>
      <c r="N95" s="28"/>
    </row>
    <row r="96" spans="1:15" ht="24.95" customHeight="1" x14ac:dyDescent="0.15">
      <c r="A96" s="29">
        <v>32</v>
      </c>
      <c r="B96" s="9" t="s">
        <v>164</v>
      </c>
      <c r="C96" s="9"/>
      <c r="D96" s="9"/>
      <c r="E96" s="9"/>
      <c r="F96" s="27"/>
      <c r="G96" s="28"/>
      <c r="H96" s="28"/>
      <c r="I96" s="28"/>
      <c r="J96" s="28"/>
      <c r="K96" s="28"/>
      <c r="L96" s="28"/>
      <c r="M96" s="28"/>
      <c r="N96" s="28"/>
    </row>
    <row r="97" spans="1:14" ht="29.65" customHeight="1" x14ac:dyDescent="0.15">
      <c r="A97" s="29">
        <v>33</v>
      </c>
      <c r="B97" s="9" t="s">
        <v>165</v>
      </c>
      <c r="C97" s="33"/>
      <c r="D97" s="33"/>
      <c r="E97" s="33"/>
      <c r="F97" s="27"/>
      <c r="G97" s="28"/>
      <c r="H97" s="28"/>
      <c r="I97" s="28"/>
      <c r="J97" s="28"/>
      <c r="K97" s="28"/>
      <c r="L97" s="28"/>
      <c r="M97" s="28"/>
      <c r="N97" s="28"/>
    </row>
    <row r="98" spans="1:14" ht="25.15" customHeight="1" x14ac:dyDescent="0.15">
      <c r="A98" s="29"/>
      <c r="B98" s="18">
        <v>33</v>
      </c>
      <c r="C98" s="18">
        <v>49</v>
      </c>
      <c r="D98" s="18">
        <v>30</v>
      </c>
      <c r="E98" s="18">
        <v>69</v>
      </c>
      <c r="F98" s="27"/>
      <c r="G98" s="28"/>
      <c r="H98" s="28"/>
      <c r="I98" s="28"/>
      <c r="J98" s="28"/>
      <c r="K98" s="28"/>
      <c r="L98" s="28"/>
      <c r="M98" s="28"/>
      <c r="N98" s="28"/>
    </row>
  </sheetData>
  <autoFilter ref="A1:N98" xr:uid="{00000000-0001-0000-0000-000000000000}"/>
  <mergeCells count="48">
    <mergeCell ref="A63:A65"/>
    <mergeCell ref="A2:A5"/>
    <mergeCell ref="A7:A10"/>
    <mergeCell ref="A11:A12"/>
    <mergeCell ref="A13:A14"/>
    <mergeCell ref="A15:A26"/>
    <mergeCell ref="A27:A31"/>
    <mergeCell ref="A32:A34"/>
    <mergeCell ref="A35:A37"/>
    <mergeCell ref="A38:A40"/>
    <mergeCell ref="A41:A46"/>
    <mergeCell ref="A47:A48"/>
    <mergeCell ref="A49:A50"/>
    <mergeCell ref="A51:A53"/>
    <mergeCell ref="A54:A55"/>
    <mergeCell ref="A56:A61"/>
    <mergeCell ref="A66:A67"/>
    <mergeCell ref="A68:A70"/>
    <mergeCell ref="A71:A73"/>
    <mergeCell ref="A74:A78"/>
    <mergeCell ref="A80:A84"/>
    <mergeCell ref="A87:A88"/>
    <mergeCell ref="A89:A90"/>
    <mergeCell ref="A93:A95"/>
    <mergeCell ref="B2:B5"/>
    <mergeCell ref="B7:B10"/>
    <mergeCell ref="B11:B12"/>
    <mergeCell ref="B13:B14"/>
    <mergeCell ref="B15:B26"/>
    <mergeCell ref="B27:B31"/>
    <mergeCell ref="B32:B34"/>
    <mergeCell ref="B35:B37"/>
    <mergeCell ref="B38:B40"/>
    <mergeCell ref="B41:B46"/>
    <mergeCell ref="B47:B48"/>
    <mergeCell ref="B49:B50"/>
    <mergeCell ref="B51:B53"/>
    <mergeCell ref="B54:B55"/>
    <mergeCell ref="B56:B61"/>
    <mergeCell ref="B66:B67"/>
    <mergeCell ref="B68:B70"/>
    <mergeCell ref="B71:B73"/>
    <mergeCell ref="B63:B65"/>
    <mergeCell ref="B74:B78"/>
    <mergeCell ref="B80:B84"/>
    <mergeCell ref="B87:B88"/>
    <mergeCell ref="B89:B90"/>
    <mergeCell ref="B93:B95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J18" sqref="J18"/>
    </sheetView>
  </sheetViews>
  <sheetFormatPr defaultColWidth="9" defaultRowHeight="13.5" x14ac:dyDescent="0.15"/>
  <cols>
    <col min="1" max="3" width="9.25" style="1"/>
  </cols>
  <sheetData>
    <row r="1" spans="1:3" x14ac:dyDescent="0.15">
      <c r="B1" s="1" t="s">
        <v>166</v>
      </c>
      <c r="C1" s="1" t="s">
        <v>167</v>
      </c>
    </row>
    <row r="2" spans="1:3" x14ac:dyDescent="0.15">
      <c r="A2" s="1" t="s">
        <v>107</v>
      </c>
      <c r="B2" s="2">
        <f>C2/$C$12*100</f>
        <v>2.0408163265306101</v>
      </c>
      <c r="C2" s="1">
        <v>1</v>
      </c>
    </row>
    <row r="3" spans="1:3" x14ac:dyDescent="0.15">
      <c r="A3" s="1" t="s">
        <v>168</v>
      </c>
      <c r="B3" s="2">
        <f t="shared" ref="B3:B11" si="0">C3/$C$12*100</f>
        <v>2.0408163265306101</v>
      </c>
      <c r="C3" s="1">
        <v>1</v>
      </c>
    </row>
    <row r="4" spans="1:3" x14ac:dyDescent="0.15">
      <c r="A4" s="1" t="s">
        <v>157</v>
      </c>
      <c r="B4" s="2">
        <f t="shared" si="0"/>
        <v>6.12244897959184</v>
      </c>
      <c r="C4" s="1">
        <v>3</v>
      </c>
    </row>
    <row r="5" spans="1:3" x14ac:dyDescent="0.15">
      <c r="A5" s="1" t="s">
        <v>150</v>
      </c>
      <c r="B5" s="2">
        <f t="shared" si="0"/>
        <v>2.0408163265306101</v>
      </c>
      <c r="C5" s="1">
        <v>1</v>
      </c>
    </row>
    <row r="6" spans="1:3" x14ac:dyDescent="0.15">
      <c r="A6" s="1" t="s">
        <v>169</v>
      </c>
      <c r="B6" s="2">
        <f t="shared" si="0"/>
        <v>6.12244897959184</v>
      </c>
      <c r="C6" s="1">
        <v>3</v>
      </c>
    </row>
    <row r="7" spans="1:3" x14ac:dyDescent="0.15">
      <c r="A7" s="1" t="s">
        <v>170</v>
      </c>
      <c r="B7" s="2">
        <f t="shared" si="0"/>
        <v>12.244897959183699</v>
      </c>
      <c r="C7" s="1">
        <v>6</v>
      </c>
    </row>
    <row r="8" spans="1:3" x14ac:dyDescent="0.15">
      <c r="A8" s="1" t="s">
        <v>171</v>
      </c>
      <c r="B8" s="2">
        <f t="shared" si="0"/>
        <v>36.734693877551003</v>
      </c>
      <c r="C8" s="1">
        <v>18</v>
      </c>
    </row>
    <row r="9" spans="1:3" x14ac:dyDescent="0.15">
      <c r="A9" s="1" t="s">
        <v>172</v>
      </c>
      <c r="B9" s="2">
        <f t="shared" si="0"/>
        <v>10.2040816326531</v>
      </c>
      <c r="C9" s="1">
        <v>5</v>
      </c>
    </row>
    <row r="10" spans="1:3" x14ac:dyDescent="0.15">
      <c r="A10" s="1" t="s">
        <v>173</v>
      </c>
      <c r="B10" s="2">
        <f t="shared" si="0"/>
        <v>6.12244897959184</v>
      </c>
      <c r="C10" s="1">
        <v>3</v>
      </c>
    </row>
    <row r="11" spans="1:3" x14ac:dyDescent="0.15">
      <c r="A11" s="1" t="s">
        <v>174</v>
      </c>
      <c r="B11" s="2">
        <f t="shared" si="0"/>
        <v>16.326530612244898</v>
      </c>
      <c r="C11" s="1">
        <v>8</v>
      </c>
    </row>
    <row r="12" spans="1:3" x14ac:dyDescent="0.15">
      <c r="B12" s="2">
        <f>SUM(B2:B11)</f>
        <v>100</v>
      </c>
      <c r="C12" s="1">
        <f>SUM(C2:C11)</f>
        <v>49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shiyue</dc:creator>
  <cp:lastModifiedBy>PC</cp:lastModifiedBy>
  <dcterms:created xsi:type="dcterms:W3CDTF">2025-06-09T01:47:00Z</dcterms:created>
  <dcterms:modified xsi:type="dcterms:W3CDTF">2026-06-03T02:48:16Z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D18CF72CB9E940D88987E120AE6054B3_13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